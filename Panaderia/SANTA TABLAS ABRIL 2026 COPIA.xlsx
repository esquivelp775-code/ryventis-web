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9200" windowHeight="11205"/>
  </bookViews>
  <sheets>
    <sheet name="6-12 DE ABRIL" sheetId="1" r:id="rId1"/>
    <sheet name="30 DE MARZO -5 DE ABRI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4" i="2" l="1"/>
  <c r="Y193" i="2"/>
  <c r="S193" i="2"/>
  <c r="M193" i="2"/>
  <c r="E193" i="2"/>
  <c r="G193" i="2" s="1"/>
  <c r="Y192" i="2"/>
  <c r="S192" i="2"/>
  <c r="M192" i="2"/>
  <c r="G192" i="2"/>
  <c r="E192" i="2"/>
  <c r="Y191" i="2"/>
  <c r="S191" i="2"/>
  <c r="M191" i="2"/>
  <c r="E191" i="2"/>
  <c r="G191" i="2" s="1"/>
  <c r="Y190" i="2"/>
  <c r="S190" i="2"/>
  <c r="M190" i="2"/>
  <c r="G190" i="2"/>
  <c r="E190" i="2"/>
  <c r="Y189" i="2"/>
  <c r="S189" i="2"/>
  <c r="M189" i="2"/>
  <c r="E189" i="2"/>
  <c r="G189" i="2" s="1"/>
  <c r="Y188" i="2"/>
  <c r="S188" i="2"/>
  <c r="M188" i="2"/>
  <c r="G188" i="2"/>
  <c r="E188" i="2"/>
  <c r="E194" i="2" s="1"/>
  <c r="Y187" i="2"/>
  <c r="S187" i="2"/>
  <c r="M187" i="2"/>
  <c r="G187" i="2"/>
  <c r="Y186" i="2"/>
  <c r="S186" i="2"/>
  <c r="M186" i="2"/>
  <c r="G186" i="2"/>
  <c r="Y185" i="2"/>
  <c r="S185" i="2"/>
  <c r="M185" i="2"/>
  <c r="G185" i="2"/>
  <c r="Y184" i="2"/>
  <c r="S184" i="2"/>
  <c r="M184" i="2"/>
  <c r="G184" i="2"/>
  <c r="Y183" i="2"/>
  <c r="S183" i="2"/>
  <c r="M183" i="2"/>
  <c r="G183" i="2"/>
  <c r="Y182" i="2"/>
  <c r="S182" i="2"/>
  <c r="M182" i="2"/>
  <c r="G182" i="2"/>
  <c r="Y181" i="2"/>
  <c r="S181" i="2"/>
  <c r="M181" i="2"/>
  <c r="G181" i="2"/>
  <c r="Y180" i="2"/>
  <c r="S180" i="2"/>
  <c r="M180" i="2"/>
  <c r="G180" i="2"/>
  <c r="Y179" i="2"/>
  <c r="S179" i="2"/>
  <c r="M179" i="2"/>
  <c r="G179" i="2"/>
  <c r="Y178" i="2"/>
  <c r="S178" i="2"/>
  <c r="M178" i="2"/>
  <c r="G178" i="2"/>
  <c r="Y177" i="2"/>
  <c r="S177" i="2"/>
  <c r="M177" i="2"/>
  <c r="G177" i="2"/>
  <c r="Y176" i="2"/>
  <c r="Y194" i="2" s="1"/>
  <c r="S176" i="2"/>
  <c r="S194" i="2" s="1"/>
  <c r="M176" i="2"/>
  <c r="G176" i="2"/>
  <c r="P173" i="2"/>
  <c r="U173" i="2" s="1"/>
  <c r="K167" i="2"/>
  <c r="Y166" i="2"/>
  <c r="S166" i="2"/>
  <c r="M166" i="2"/>
  <c r="G166" i="2"/>
  <c r="E166" i="2"/>
  <c r="Y165" i="2"/>
  <c r="S165" i="2"/>
  <c r="M165" i="2"/>
  <c r="E165" i="2"/>
  <c r="G165" i="2" s="1"/>
  <c r="Y164" i="2"/>
  <c r="S164" i="2"/>
  <c r="M164" i="2"/>
  <c r="G164" i="2"/>
  <c r="E164" i="2"/>
  <c r="Y163" i="2"/>
  <c r="S163" i="2"/>
  <c r="M163" i="2"/>
  <c r="E163" i="2"/>
  <c r="G163" i="2" s="1"/>
  <c r="Y162" i="2"/>
  <c r="S162" i="2"/>
  <c r="M162" i="2"/>
  <c r="G162" i="2"/>
  <c r="E162" i="2"/>
  <c r="Y161" i="2"/>
  <c r="S161" i="2"/>
  <c r="M161" i="2"/>
  <c r="E161" i="2"/>
  <c r="G161" i="2" s="1"/>
  <c r="Y160" i="2"/>
  <c r="S160" i="2"/>
  <c r="M160" i="2"/>
  <c r="G160" i="2"/>
  <c r="Y159" i="2"/>
  <c r="S159" i="2"/>
  <c r="M159" i="2"/>
  <c r="G159" i="2"/>
  <c r="Y158" i="2"/>
  <c r="S158" i="2"/>
  <c r="M158" i="2"/>
  <c r="G158" i="2"/>
  <c r="Y157" i="2"/>
  <c r="S157" i="2"/>
  <c r="M157" i="2"/>
  <c r="G157" i="2"/>
  <c r="Y156" i="2"/>
  <c r="S156" i="2"/>
  <c r="M156" i="2"/>
  <c r="G156" i="2"/>
  <c r="Y155" i="2"/>
  <c r="S155" i="2"/>
  <c r="M155" i="2"/>
  <c r="G155" i="2"/>
  <c r="Y154" i="2"/>
  <c r="S154" i="2"/>
  <c r="M154" i="2"/>
  <c r="G154" i="2"/>
  <c r="Y153" i="2"/>
  <c r="S153" i="2"/>
  <c r="M153" i="2"/>
  <c r="G153" i="2"/>
  <c r="Y152" i="2"/>
  <c r="S152" i="2"/>
  <c r="M152" i="2"/>
  <c r="G152" i="2"/>
  <c r="Y151" i="2"/>
  <c r="S151" i="2"/>
  <c r="M151" i="2"/>
  <c r="G151" i="2"/>
  <c r="Y150" i="2"/>
  <c r="S150" i="2"/>
  <c r="M150" i="2"/>
  <c r="G150" i="2"/>
  <c r="Y149" i="2"/>
  <c r="Y167" i="2" s="1"/>
  <c r="S149" i="2"/>
  <c r="S167" i="2" s="1"/>
  <c r="M149" i="2"/>
  <c r="G149" i="2"/>
  <c r="P146" i="2"/>
  <c r="U146" i="2" s="1"/>
  <c r="K140" i="2"/>
  <c r="Y139" i="2"/>
  <c r="S139" i="2"/>
  <c r="M139" i="2"/>
  <c r="G139" i="2"/>
  <c r="E139" i="2"/>
  <c r="Y138" i="2"/>
  <c r="S138" i="2"/>
  <c r="M138" i="2"/>
  <c r="E138" i="2"/>
  <c r="G138" i="2" s="1"/>
  <c r="Y137" i="2"/>
  <c r="S137" i="2"/>
  <c r="M137" i="2"/>
  <c r="G137" i="2"/>
  <c r="E137" i="2"/>
  <c r="Y136" i="2"/>
  <c r="S136" i="2"/>
  <c r="M136" i="2"/>
  <c r="E136" i="2"/>
  <c r="G136" i="2" s="1"/>
  <c r="Y135" i="2"/>
  <c r="S135" i="2"/>
  <c r="M135" i="2"/>
  <c r="G135" i="2"/>
  <c r="E135" i="2"/>
  <c r="Y134" i="2"/>
  <c r="S134" i="2"/>
  <c r="M134" i="2"/>
  <c r="E134" i="2"/>
  <c r="G134" i="2" s="1"/>
  <c r="Y133" i="2"/>
  <c r="S133" i="2"/>
  <c r="M133" i="2"/>
  <c r="G133" i="2"/>
  <c r="Y132" i="2"/>
  <c r="S132" i="2"/>
  <c r="M132" i="2"/>
  <c r="G132" i="2"/>
  <c r="Y131" i="2"/>
  <c r="S131" i="2"/>
  <c r="M131" i="2"/>
  <c r="G131" i="2"/>
  <c r="Y130" i="2"/>
  <c r="S130" i="2"/>
  <c r="M130" i="2"/>
  <c r="G130" i="2"/>
  <c r="Y129" i="2"/>
  <c r="S129" i="2"/>
  <c r="M129" i="2"/>
  <c r="G129" i="2"/>
  <c r="Y128" i="2"/>
  <c r="S128" i="2"/>
  <c r="M128" i="2"/>
  <c r="G128" i="2"/>
  <c r="Y127" i="2"/>
  <c r="S127" i="2"/>
  <c r="M127" i="2"/>
  <c r="G127" i="2"/>
  <c r="Y126" i="2"/>
  <c r="S126" i="2"/>
  <c r="M126" i="2"/>
  <c r="G126" i="2"/>
  <c r="Y125" i="2"/>
  <c r="S125" i="2"/>
  <c r="M125" i="2"/>
  <c r="G125" i="2"/>
  <c r="Y124" i="2"/>
  <c r="S124" i="2"/>
  <c r="M124" i="2"/>
  <c r="G124" i="2"/>
  <c r="Y123" i="2"/>
  <c r="S123" i="2"/>
  <c r="M123" i="2"/>
  <c r="G123" i="2"/>
  <c r="Y122" i="2"/>
  <c r="Y140" i="2" s="1"/>
  <c r="S122" i="2"/>
  <c r="S140" i="2" s="1"/>
  <c r="M122" i="2"/>
  <c r="G122" i="2"/>
  <c r="P119" i="2"/>
  <c r="U119" i="2" s="1"/>
  <c r="K113" i="2"/>
  <c r="Y112" i="2"/>
  <c r="S112" i="2"/>
  <c r="M112" i="2"/>
  <c r="G112" i="2"/>
  <c r="E112" i="2"/>
  <c r="Y111" i="2"/>
  <c r="S111" i="2"/>
  <c r="M111" i="2"/>
  <c r="E111" i="2"/>
  <c r="G111" i="2" s="1"/>
  <c r="Y110" i="2"/>
  <c r="S110" i="2"/>
  <c r="M110" i="2"/>
  <c r="G110" i="2"/>
  <c r="E110" i="2"/>
  <c r="Y109" i="2"/>
  <c r="S109" i="2"/>
  <c r="M109" i="2"/>
  <c r="E109" i="2"/>
  <c r="G109" i="2" s="1"/>
  <c r="Y108" i="2"/>
  <c r="S108" i="2"/>
  <c r="M108" i="2"/>
  <c r="G108" i="2"/>
  <c r="E108" i="2"/>
  <c r="Y107" i="2"/>
  <c r="S107" i="2"/>
  <c r="M107" i="2"/>
  <c r="E107" i="2"/>
  <c r="G107" i="2" s="1"/>
  <c r="Y106" i="2"/>
  <c r="S106" i="2"/>
  <c r="M106" i="2"/>
  <c r="G106" i="2"/>
  <c r="Y105" i="2"/>
  <c r="S105" i="2"/>
  <c r="M105" i="2"/>
  <c r="G105" i="2"/>
  <c r="Y104" i="2"/>
  <c r="S104" i="2"/>
  <c r="M104" i="2"/>
  <c r="G104" i="2"/>
  <c r="Y103" i="2"/>
  <c r="S103" i="2"/>
  <c r="M103" i="2"/>
  <c r="G103" i="2"/>
  <c r="Y102" i="2"/>
  <c r="S102" i="2"/>
  <c r="M102" i="2"/>
  <c r="G102" i="2"/>
  <c r="Y101" i="2"/>
  <c r="S101" i="2"/>
  <c r="M101" i="2"/>
  <c r="G101" i="2"/>
  <c r="Y100" i="2"/>
  <c r="S100" i="2"/>
  <c r="M100" i="2"/>
  <c r="G100" i="2"/>
  <c r="Y99" i="2"/>
  <c r="S99" i="2"/>
  <c r="M99" i="2"/>
  <c r="G99" i="2"/>
  <c r="Y98" i="2"/>
  <c r="S98" i="2"/>
  <c r="M98" i="2"/>
  <c r="G98" i="2"/>
  <c r="Y97" i="2"/>
  <c r="S97" i="2"/>
  <c r="M97" i="2"/>
  <c r="G97" i="2"/>
  <c r="Y96" i="2"/>
  <c r="S96" i="2"/>
  <c r="M96" i="2"/>
  <c r="G96" i="2"/>
  <c r="Y95" i="2"/>
  <c r="Y113" i="2" s="1"/>
  <c r="S95" i="2"/>
  <c r="S113" i="2" s="1"/>
  <c r="M95" i="2"/>
  <c r="G95" i="2"/>
  <c r="P92" i="2"/>
  <c r="U92" i="2" s="1"/>
  <c r="K86" i="2"/>
  <c r="Y85" i="2"/>
  <c r="S85" i="2"/>
  <c r="M85" i="2"/>
  <c r="G85" i="2"/>
  <c r="E85" i="2"/>
  <c r="Y84" i="2"/>
  <c r="S84" i="2"/>
  <c r="M84" i="2"/>
  <c r="E84" i="2"/>
  <c r="G84" i="2" s="1"/>
  <c r="Y83" i="2"/>
  <c r="S83" i="2"/>
  <c r="M83" i="2"/>
  <c r="G83" i="2"/>
  <c r="E83" i="2"/>
  <c r="Y82" i="2"/>
  <c r="S82" i="2"/>
  <c r="M82" i="2"/>
  <c r="E82" i="2"/>
  <c r="G82" i="2" s="1"/>
  <c r="Y81" i="2"/>
  <c r="S81" i="2"/>
  <c r="M81" i="2"/>
  <c r="G81" i="2"/>
  <c r="E81" i="2"/>
  <c r="Y80" i="2"/>
  <c r="S80" i="2"/>
  <c r="M80" i="2"/>
  <c r="E80" i="2"/>
  <c r="G80" i="2" s="1"/>
  <c r="Y79" i="2"/>
  <c r="S79" i="2"/>
  <c r="M79" i="2"/>
  <c r="G79" i="2"/>
  <c r="Y78" i="2"/>
  <c r="S78" i="2"/>
  <c r="M78" i="2"/>
  <c r="G78" i="2"/>
  <c r="Y77" i="2"/>
  <c r="S77" i="2"/>
  <c r="M77" i="2"/>
  <c r="G77" i="2"/>
  <c r="Y76" i="2"/>
  <c r="S76" i="2"/>
  <c r="M76" i="2"/>
  <c r="G76" i="2"/>
  <c r="Y75" i="2"/>
  <c r="S75" i="2"/>
  <c r="M75" i="2"/>
  <c r="G75" i="2"/>
  <c r="Y74" i="2"/>
  <c r="S74" i="2"/>
  <c r="M74" i="2"/>
  <c r="G74" i="2"/>
  <c r="Y73" i="2"/>
  <c r="S73" i="2"/>
  <c r="M73" i="2"/>
  <c r="G73" i="2"/>
  <c r="Y72" i="2"/>
  <c r="S72" i="2"/>
  <c r="M72" i="2"/>
  <c r="G72" i="2"/>
  <c r="Y71" i="2"/>
  <c r="S71" i="2"/>
  <c r="M71" i="2"/>
  <c r="G71" i="2"/>
  <c r="Y70" i="2"/>
  <c r="S70" i="2"/>
  <c r="M70" i="2"/>
  <c r="G70" i="2"/>
  <c r="Y69" i="2"/>
  <c r="S69" i="2"/>
  <c r="M69" i="2"/>
  <c r="G69" i="2"/>
  <c r="Y68" i="2"/>
  <c r="Y86" i="2" s="1"/>
  <c r="S68" i="2"/>
  <c r="S86" i="2" s="1"/>
  <c r="M68" i="2"/>
  <c r="G68" i="2"/>
  <c r="P65" i="2"/>
  <c r="U65" i="2" s="1"/>
  <c r="K59" i="2"/>
  <c r="Y58" i="2"/>
  <c r="S58" i="2"/>
  <c r="M58" i="2"/>
  <c r="G58" i="2"/>
  <c r="E58" i="2"/>
  <c r="Y57" i="2"/>
  <c r="S57" i="2"/>
  <c r="M57" i="2"/>
  <c r="E57" i="2"/>
  <c r="G57" i="2" s="1"/>
  <c r="Y56" i="2"/>
  <c r="S56" i="2"/>
  <c r="M56" i="2"/>
  <c r="G56" i="2"/>
  <c r="E56" i="2"/>
  <c r="Y55" i="2"/>
  <c r="S55" i="2"/>
  <c r="M55" i="2"/>
  <c r="E55" i="2"/>
  <c r="G55" i="2" s="1"/>
  <c r="Y54" i="2"/>
  <c r="S54" i="2"/>
  <c r="M54" i="2"/>
  <c r="G54" i="2"/>
  <c r="Y53" i="2"/>
  <c r="S53" i="2"/>
  <c r="M53" i="2"/>
  <c r="G53" i="2"/>
  <c r="Y52" i="2"/>
  <c r="S52" i="2"/>
  <c r="M52" i="2"/>
  <c r="G52" i="2"/>
  <c r="Y51" i="2"/>
  <c r="S51" i="2"/>
  <c r="M51" i="2"/>
  <c r="G51" i="2"/>
  <c r="Y50" i="2"/>
  <c r="S50" i="2"/>
  <c r="M50" i="2"/>
  <c r="G50" i="2"/>
  <c r="Y49" i="2"/>
  <c r="S49" i="2"/>
  <c r="M49" i="2"/>
  <c r="G49" i="2"/>
  <c r="Y48" i="2"/>
  <c r="S48" i="2"/>
  <c r="M48" i="2"/>
  <c r="G48" i="2"/>
  <c r="Y47" i="2"/>
  <c r="S47" i="2"/>
  <c r="M47" i="2"/>
  <c r="G47" i="2"/>
  <c r="Y46" i="2"/>
  <c r="S46" i="2"/>
  <c r="M46" i="2"/>
  <c r="G46" i="2"/>
  <c r="Y45" i="2"/>
  <c r="S45" i="2"/>
  <c r="M45" i="2"/>
  <c r="G45" i="2"/>
  <c r="Y44" i="2"/>
  <c r="S44" i="2"/>
  <c r="M44" i="2"/>
  <c r="G44" i="2"/>
  <c r="Y43" i="2"/>
  <c r="S43" i="2"/>
  <c r="M43" i="2"/>
  <c r="G43" i="2"/>
  <c r="Y42" i="2"/>
  <c r="S42" i="2"/>
  <c r="M42" i="2"/>
  <c r="G42" i="2"/>
  <c r="Y41" i="2"/>
  <c r="Y59" i="2" s="1"/>
  <c r="S41" i="2"/>
  <c r="S59" i="2" s="1"/>
  <c r="M41" i="2"/>
  <c r="G41" i="2"/>
  <c r="P38" i="2"/>
  <c r="U38" i="2" s="1"/>
  <c r="K31" i="2"/>
  <c r="Y30" i="2"/>
  <c r="S30" i="2"/>
  <c r="M30" i="2"/>
  <c r="G30" i="2"/>
  <c r="E30" i="2"/>
  <c r="Y29" i="2"/>
  <c r="S29" i="2"/>
  <c r="M29" i="2"/>
  <c r="E29" i="2"/>
  <c r="G29" i="2" s="1"/>
  <c r="Y28" i="2"/>
  <c r="S28" i="2"/>
  <c r="M28" i="2"/>
  <c r="G28" i="2"/>
  <c r="E28" i="2"/>
  <c r="Y27" i="2"/>
  <c r="S27" i="2"/>
  <c r="M27" i="2"/>
  <c r="E27" i="2"/>
  <c r="G27" i="2" s="1"/>
  <c r="Y26" i="2"/>
  <c r="S26" i="2"/>
  <c r="M26" i="2"/>
  <c r="G26" i="2"/>
  <c r="E26" i="2"/>
  <c r="Y25" i="2"/>
  <c r="S25" i="2"/>
  <c r="M25" i="2"/>
  <c r="E25" i="2"/>
  <c r="G25" i="2" s="1"/>
  <c r="Y24" i="2"/>
  <c r="S24" i="2"/>
  <c r="M24" i="2"/>
  <c r="G24" i="2"/>
  <c r="Y23" i="2"/>
  <c r="S23" i="2"/>
  <c r="M23" i="2"/>
  <c r="G23" i="2"/>
  <c r="Y22" i="2"/>
  <c r="S22" i="2"/>
  <c r="M22" i="2"/>
  <c r="G22" i="2"/>
  <c r="Y21" i="2"/>
  <c r="S21" i="2"/>
  <c r="M21" i="2"/>
  <c r="G21" i="2"/>
  <c r="Y20" i="2"/>
  <c r="S20" i="2"/>
  <c r="M20" i="2"/>
  <c r="G20" i="2"/>
  <c r="Y19" i="2"/>
  <c r="S19" i="2"/>
  <c r="M19" i="2"/>
  <c r="G19" i="2"/>
  <c r="Y18" i="2"/>
  <c r="S18" i="2"/>
  <c r="M18" i="2"/>
  <c r="G18" i="2"/>
  <c r="Y17" i="2"/>
  <c r="S17" i="2"/>
  <c r="M17" i="2"/>
  <c r="G17" i="2"/>
  <c r="Y16" i="2"/>
  <c r="S16" i="2"/>
  <c r="M16" i="2"/>
  <c r="G16" i="2"/>
  <c r="Y15" i="2"/>
  <c r="S15" i="2"/>
  <c r="M15" i="2"/>
  <c r="G15" i="2"/>
  <c r="Y14" i="2"/>
  <c r="S14" i="2"/>
  <c r="M14" i="2"/>
  <c r="G14" i="2"/>
  <c r="Y13" i="2"/>
  <c r="Y31" i="2" s="1"/>
  <c r="S13" i="2"/>
  <c r="S31" i="2" s="1"/>
  <c r="M13" i="2"/>
  <c r="G13" i="2"/>
  <c r="P10" i="2"/>
  <c r="U10" i="2" s="1"/>
  <c r="K195" i="1"/>
  <c r="AD194" i="1"/>
  <c r="Y194" i="1"/>
  <c r="S194" i="1"/>
  <c r="M194" i="1"/>
  <c r="E194" i="1"/>
  <c r="G194" i="1" s="1"/>
  <c r="AD193" i="1"/>
  <c r="Y193" i="1"/>
  <c r="S193" i="1"/>
  <c r="M193" i="1"/>
  <c r="E193" i="1"/>
  <c r="G193" i="1" s="1"/>
  <c r="AD192" i="1"/>
  <c r="Y192" i="1"/>
  <c r="S192" i="1"/>
  <c r="M192" i="1"/>
  <c r="E192" i="1"/>
  <c r="G192" i="1" s="1"/>
  <c r="AD191" i="1"/>
  <c r="AD195" i="1" s="1"/>
  <c r="AH183" i="1" s="1"/>
  <c r="Y191" i="1"/>
  <c r="S191" i="1"/>
  <c r="M191" i="1"/>
  <c r="E191" i="1"/>
  <c r="G191" i="1" s="1"/>
  <c r="Y190" i="1"/>
  <c r="S190" i="1"/>
  <c r="M190" i="1"/>
  <c r="G190" i="1"/>
  <c r="E190" i="1"/>
  <c r="Y189" i="1"/>
  <c r="S189" i="1"/>
  <c r="M189" i="1"/>
  <c r="E189" i="1"/>
  <c r="E195" i="1" s="1"/>
  <c r="AH179" i="1" s="1"/>
  <c r="Y188" i="1"/>
  <c r="S188" i="1"/>
  <c r="M188" i="1"/>
  <c r="G188" i="1"/>
  <c r="Y187" i="1"/>
  <c r="S187" i="1"/>
  <c r="M187" i="1"/>
  <c r="G187" i="1"/>
  <c r="Y186" i="1"/>
  <c r="S186" i="1"/>
  <c r="M186" i="1"/>
  <c r="G186" i="1"/>
  <c r="AD185" i="1"/>
  <c r="Y185" i="1"/>
  <c r="S185" i="1"/>
  <c r="M185" i="1"/>
  <c r="G185" i="1"/>
  <c r="AD184" i="1"/>
  <c r="Y184" i="1"/>
  <c r="S184" i="1"/>
  <c r="M184" i="1"/>
  <c r="G184" i="1"/>
  <c r="AD183" i="1"/>
  <c r="Y183" i="1"/>
  <c r="S183" i="1"/>
  <c r="M183" i="1"/>
  <c r="G183" i="1"/>
  <c r="AD182" i="1"/>
  <c r="Y182" i="1"/>
  <c r="S182" i="1"/>
  <c r="M182" i="1"/>
  <c r="G182" i="1"/>
  <c r="AD181" i="1"/>
  <c r="Y181" i="1"/>
  <c r="S181" i="1"/>
  <c r="M181" i="1"/>
  <c r="G181" i="1"/>
  <c r="AH180" i="1"/>
  <c r="AD180" i="1"/>
  <c r="AD186" i="1" s="1"/>
  <c r="Y180" i="1"/>
  <c r="S180" i="1"/>
  <c r="M180" i="1"/>
  <c r="G180" i="1"/>
  <c r="Y179" i="1"/>
  <c r="S179" i="1"/>
  <c r="M179" i="1"/>
  <c r="G179" i="1"/>
  <c r="Y178" i="1"/>
  <c r="S178" i="1"/>
  <c r="M178" i="1"/>
  <c r="G178" i="1"/>
  <c r="Y177" i="1"/>
  <c r="Y195" i="1" s="1"/>
  <c r="AH178" i="1" s="1"/>
  <c r="S177" i="1"/>
  <c r="S195" i="1" s="1"/>
  <c r="AH177" i="1" s="1"/>
  <c r="M177" i="1"/>
  <c r="G177" i="1"/>
  <c r="AD176" i="1"/>
  <c r="AH176" i="1" s="1"/>
  <c r="P174" i="1"/>
  <c r="U174" i="1" s="1"/>
  <c r="AA173" i="1"/>
  <c r="AG174" i="1" s="1"/>
  <c r="K168" i="1"/>
  <c r="AD167" i="1"/>
  <c r="Y167" i="1"/>
  <c r="S167" i="1"/>
  <c r="M167" i="1"/>
  <c r="E167" i="1"/>
  <c r="G167" i="1" s="1"/>
  <c r="AD166" i="1"/>
  <c r="Y166" i="1"/>
  <c r="S166" i="1"/>
  <c r="M166" i="1"/>
  <c r="E166" i="1"/>
  <c r="G166" i="1" s="1"/>
  <c r="AD165" i="1"/>
  <c r="Y165" i="1"/>
  <c r="S165" i="1"/>
  <c r="M165" i="1"/>
  <c r="E165" i="1"/>
  <c r="G165" i="1" s="1"/>
  <c r="AD164" i="1"/>
  <c r="AD168" i="1" s="1"/>
  <c r="Y164" i="1"/>
  <c r="S164" i="1"/>
  <c r="M164" i="1"/>
  <c r="E164" i="1"/>
  <c r="G164" i="1" s="1"/>
  <c r="Y163" i="1"/>
  <c r="S163" i="1"/>
  <c r="M163" i="1"/>
  <c r="E163" i="1"/>
  <c r="G163" i="1" s="1"/>
  <c r="Y162" i="1"/>
  <c r="S162" i="1"/>
  <c r="M162" i="1"/>
  <c r="G162" i="1"/>
  <c r="E162" i="1"/>
  <c r="E168" i="1" s="1"/>
  <c r="AH152" i="1" s="1"/>
  <c r="Y161" i="1"/>
  <c r="S161" i="1"/>
  <c r="M161" i="1"/>
  <c r="G161" i="1"/>
  <c r="Y160" i="1"/>
  <c r="S160" i="1"/>
  <c r="M160" i="1"/>
  <c r="G160" i="1"/>
  <c r="Y159" i="1"/>
  <c r="S159" i="1"/>
  <c r="M159" i="1"/>
  <c r="G159" i="1"/>
  <c r="AD158" i="1"/>
  <c r="Y158" i="1"/>
  <c r="S158" i="1"/>
  <c r="M158" i="1"/>
  <c r="G158" i="1"/>
  <c r="AD157" i="1"/>
  <c r="Y157" i="1"/>
  <c r="S157" i="1"/>
  <c r="M157" i="1"/>
  <c r="G157" i="1"/>
  <c r="AD156" i="1"/>
  <c r="Y156" i="1"/>
  <c r="S156" i="1"/>
  <c r="M156" i="1"/>
  <c r="G156" i="1"/>
  <c r="AD155" i="1"/>
  <c r="Y155" i="1"/>
  <c r="S155" i="1"/>
  <c r="M155" i="1"/>
  <c r="G155" i="1"/>
  <c r="AD154" i="1"/>
  <c r="S154" i="1"/>
  <c r="M154" i="1"/>
  <c r="G154" i="1"/>
  <c r="AH153" i="1"/>
  <c r="AD153" i="1"/>
  <c r="AD159" i="1" s="1"/>
  <c r="Y153" i="1"/>
  <c r="S153" i="1"/>
  <c r="M153" i="1"/>
  <c r="G153" i="1"/>
  <c r="Y152" i="1"/>
  <c r="S152" i="1"/>
  <c r="M152" i="1"/>
  <c r="G152" i="1"/>
  <c r="Y151" i="1"/>
  <c r="S151" i="1"/>
  <c r="M151" i="1"/>
  <c r="G151" i="1"/>
  <c r="Y150" i="1"/>
  <c r="Y168" i="1" s="1"/>
  <c r="AH151" i="1" s="1"/>
  <c r="S150" i="1"/>
  <c r="S168" i="1" s="1"/>
  <c r="AH150" i="1" s="1"/>
  <c r="M150" i="1"/>
  <c r="G150" i="1"/>
  <c r="AD149" i="1"/>
  <c r="AH149" i="1" s="1"/>
  <c r="U147" i="1"/>
  <c r="P147" i="1"/>
  <c r="AA146" i="1"/>
  <c r="AG147" i="1" s="1"/>
  <c r="K141" i="1"/>
  <c r="AD140" i="1"/>
  <c r="Y140" i="1"/>
  <c r="S140" i="1"/>
  <c r="M140" i="1"/>
  <c r="E140" i="1"/>
  <c r="G140" i="1" s="1"/>
  <c r="AD139" i="1"/>
  <c r="Y139" i="1"/>
  <c r="S139" i="1"/>
  <c r="M139" i="1"/>
  <c r="E139" i="1"/>
  <c r="G139" i="1" s="1"/>
  <c r="AD138" i="1"/>
  <c r="Y138" i="1"/>
  <c r="S138" i="1"/>
  <c r="M138" i="1"/>
  <c r="G138" i="1"/>
  <c r="E138" i="1"/>
  <c r="AD137" i="1"/>
  <c r="AD141" i="1" s="1"/>
  <c r="AH129" i="1" s="1"/>
  <c r="Y137" i="1"/>
  <c r="S137" i="1"/>
  <c r="M137" i="1"/>
  <c r="G137" i="1"/>
  <c r="E137" i="1"/>
  <c r="Y136" i="1"/>
  <c r="S136" i="1"/>
  <c r="M136" i="1"/>
  <c r="E136" i="1"/>
  <c r="G136" i="1" s="1"/>
  <c r="Y135" i="1"/>
  <c r="S135" i="1"/>
  <c r="M135" i="1"/>
  <c r="G135" i="1"/>
  <c r="E135" i="1"/>
  <c r="E141" i="1" s="1"/>
  <c r="AH125" i="1" s="1"/>
  <c r="Y134" i="1"/>
  <c r="S134" i="1"/>
  <c r="M134" i="1"/>
  <c r="G134" i="1"/>
  <c r="Y133" i="1"/>
  <c r="S133" i="1"/>
  <c r="M133" i="1"/>
  <c r="G133" i="1"/>
  <c r="Y132" i="1"/>
  <c r="S132" i="1"/>
  <c r="M132" i="1"/>
  <c r="G132" i="1"/>
  <c r="AD131" i="1"/>
  <c r="Y131" i="1"/>
  <c r="S131" i="1"/>
  <c r="M131" i="1"/>
  <c r="G131" i="1"/>
  <c r="AD130" i="1"/>
  <c r="Y130" i="1"/>
  <c r="S130" i="1"/>
  <c r="M130" i="1"/>
  <c r="G130" i="1"/>
  <c r="AD129" i="1"/>
  <c r="Y129" i="1"/>
  <c r="S129" i="1"/>
  <c r="M129" i="1"/>
  <c r="G129" i="1"/>
  <c r="AD128" i="1"/>
  <c r="Y128" i="1"/>
  <c r="S128" i="1"/>
  <c r="M128" i="1"/>
  <c r="G128" i="1"/>
  <c r="AD127" i="1"/>
  <c r="Y127" i="1"/>
  <c r="S127" i="1"/>
  <c r="M127" i="1"/>
  <c r="G127" i="1"/>
  <c r="AH126" i="1"/>
  <c r="AD126" i="1"/>
  <c r="AD132" i="1" s="1"/>
  <c r="AH138" i="1" s="1"/>
  <c r="Y126" i="1"/>
  <c r="S126" i="1"/>
  <c r="M126" i="1"/>
  <c r="G126" i="1"/>
  <c r="Y125" i="1"/>
  <c r="S125" i="1"/>
  <c r="M125" i="1"/>
  <c r="G125" i="1"/>
  <c r="Y124" i="1"/>
  <c r="S124" i="1"/>
  <c r="M124" i="1"/>
  <c r="G124" i="1"/>
  <c r="Y123" i="1"/>
  <c r="Y141" i="1" s="1"/>
  <c r="AH124" i="1" s="1"/>
  <c r="S123" i="1"/>
  <c r="S141" i="1" s="1"/>
  <c r="AH123" i="1" s="1"/>
  <c r="M123" i="1"/>
  <c r="G123" i="1"/>
  <c r="AH122" i="1"/>
  <c r="AD122" i="1"/>
  <c r="AG120" i="1"/>
  <c r="P120" i="1"/>
  <c r="U120" i="1" s="1"/>
  <c r="AA119" i="1"/>
  <c r="K114" i="1"/>
  <c r="AD113" i="1"/>
  <c r="Y113" i="1"/>
  <c r="S113" i="1"/>
  <c r="M113" i="1"/>
  <c r="G113" i="1"/>
  <c r="E113" i="1"/>
  <c r="AD112" i="1"/>
  <c r="Y112" i="1"/>
  <c r="S112" i="1"/>
  <c r="M112" i="1"/>
  <c r="G112" i="1"/>
  <c r="E112" i="1"/>
  <c r="AD111" i="1"/>
  <c r="Y111" i="1"/>
  <c r="S111" i="1"/>
  <c r="M111" i="1"/>
  <c r="E111" i="1"/>
  <c r="G111" i="1" s="1"/>
  <c r="AD110" i="1"/>
  <c r="AD114" i="1" s="1"/>
  <c r="Y110" i="1"/>
  <c r="S110" i="1"/>
  <c r="M110" i="1"/>
  <c r="E110" i="1"/>
  <c r="G110" i="1" s="1"/>
  <c r="Y109" i="1"/>
  <c r="S109" i="1"/>
  <c r="M109" i="1"/>
  <c r="G109" i="1"/>
  <c r="E109" i="1"/>
  <c r="Y108" i="1"/>
  <c r="S108" i="1"/>
  <c r="M108" i="1"/>
  <c r="E108" i="1"/>
  <c r="E114" i="1" s="1"/>
  <c r="AH98" i="1" s="1"/>
  <c r="Y107" i="1"/>
  <c r="S107" i="1"/>
  <c r="M107" i="1"/>
  <c r="G107" i="1"/>
  <c r="Y106" i="1"/>
  <c r="S106" i="1"/>
  <c r="M106" i="1"/>
  <c r="G106" i="1"/>
  <c r="Y105" i="1"/>
  <c r="S105" i="1"/>
  <c r="M105" i="1"/>
  <c r="G105" i="1"/>
  <c r="AD104" i="1"/>
  <c r="Y104" i="1"/>
  <c r="S104" i="1"/>
  <c r="M104" i="1"/>
  <c r="G104" i="1"/>
  <c r="AD103" i="1"/>
  <c r="Y103" i="1"/>
  <c r="S103" i="1"/>
  <c r="M103" i="1"/>
  <c r="G103" i="1"/>
  <c r="AD102" i="1"/>
  <c r="Y102" i="1"/>
  <c r="S102" i="1"/>
  <c r="M102" i="1"/>
  <c r="G102" i="1"/>
  <c r="AD101" i="1"/>
  <c r="Y101" i="1"/>
  <c r="S101" i="1"/>
  <c r="M101" i="1"/>
  <c r="G101" i="1"/>
  <c r="AD100" i="1"/>
  <c r="Y100" i="1"/>
  <c r="S100" i="1"/>
  <c r="M100" i="1"/>
  <c r="G100" i="1"/>
  <c r="AH99" i="1"/>
  <c r="AD99" i="1"/>
  <c r="AD105" i="1" s="1"/>
  <c r="AH111" i="1" s="1"/>
  <c r="Y99" i="1"/>
  <c r="S99" i="1"/>
  <c r="M99" i="1"/>
  <c r="G99" i="1"/>
  <c r="Y98" i="1"/>
  <c r="S98" i="1"/>
  <c r="M98" i="1"/>
  <c r="G98" i="1"/>
  <c r="Y97" i="1"/>
  <c r="S97" i="1"/>
  <c r="M97" i="1"/>
  <c r="G97" i="1"/>
  <c r="Y96" i="1"/>
  <c r="Y114" i="1" s="1"/>
  <c r="AH97" i="1" s="1"/>
  <c r="S96" i="1"/>
  <c r="S114" i="1" s="1"/>
  <c r="AH96" i="1" s="1"/>
  <c r="M96" i="1"/>
  <c r="G96" i="1"/>
  <c r="AH95" i="1"/>
  <c r="AD95" i="1"/>
  <c r="P93" i="1"/>
  <c r="U93" i="1" s="1"/>
  <c r="AA92" i="1"/>
  <c r="AG93" i="1" s="1"/>
  <c r="K87" i="1"/>
  <c r="AD86" i="1"/>
  <c r="Y86" i="1"/>
  <c r="S86" i="1"/>
  <c r="M86" i="1"/>
  <c r="E86" i="1"/>
  <c r="G86" i="1" s="1"/>
  <c r="AD85" i="1"/>
  <c r="Y85" i="1"/>
  <c r="S85" i="1"/>
  <c r="M85" i="1"/>
  <c r="E85" i="1"/>
  <c r="G85" i="1" s="1"/>
  <c r="AD84" i="1"/>
  <c r="Y84" i="1"/>
  <c r="S84" i="1"/>
  <c r="M84" i="1"/>
  <c r="E84" i="1"/>
  <c r="G84" i="1" s="1"/>
  <c r="AD83" i="1"/>
  <c r="AD87" i="1" s="1"/>
  <c r="Y83" i="1"/>
  <c r="S83" i="1"/>
  <c r="M83" i="1"/>
  <c r="E83" i="1"/>
  <c r="G83" i="1" s="1"/>
  <c r="Y82" i="1"/>
  <c r="S82" i="1"/>
  <c r="M82" i="1"/>
  <c r="E82" i="1"/>
  <c r="G82" i="1" s="1"/>
  <c r="Y81" i="1"/>
  <c r="S81" i="1"/>
  <c r="M81" i="1"/>
  <c r="E81" i="1"/>
  <c r="E87" i="1" s="1"/>
  <c r="AH71" i="1" s="1"/>
  <c r="Y80" i="1"/>
  <c r="S80" i="1"/>
  <c r="M80" i="1"/>
  <c r="G80" i="1"/>
  <c r="Y79" i="1"/>
  <c r="S79" i="1"/>
  <c r="M79" i="1"/>
  <c r="G79" i="1"/>
  <c r="Y78" i="1"/>
  <c r="S78" i="1"/>
  <c r="M78" i="1"/>
  <c r="G78" i="1"/>
  <c r="AD77" i="1"/>
  <c r="Y77" i="1"/>
  <c r="S77" i="1"/>
  <c r="M77" i="1"/>
  <c r="G77" i="1"/>
  <c r="AD76" i="1"/>
  <c r="Y76" i="1"/>
  <c r="S76" i="1"/>
  <c r="M76" i="1"/>
  <c r="G76" i="1"/>
  <c r="AD75" i="1"/>
  <c r="Y75" i="1"/>
  <c r="S75" i="1"/>
  <c r="M75" i="1"/>
  <c r="G75" i="1"/>
  <c r="AD74" i="1"/>
  <c r="Y74" i="1"/>
  <c r="S74" i="1"/>
  <c r="M74" i="1"/>
  <c r="G74" i="1"/>
  <c r="AD73" i="1"/>
  <c r="Y73" i="1"/>
  <c r="S73" i="1"/>
  <c r="M73" i="1"/>
  <c r="G73" i="1"/>
  <c r="AH72" i="1"/>
  <c r="AD72" i="1"/>
  <c r="AD78" i="1" s="1"/>
  <c r="AH84" i="1" s="1"/>
  <c r="AM30" i="1" s="1"/>
  <c r="Y72" i="1"/>
  <c r="S72" i="1"/>
  <c r="M72" i="1"/>
  <c r="G72" i="1"/>
  <c r="Y71" i="1"/>
  <c r="S71" i="1"/>
  <c r="M71" i="1"/>
  <c r="G71" i="1"/>
  <c r="Y70" i="1"/>
  <c r="S70" i="1"/>
  <c r="M70" i="1"/>
  <c r="G70" i="1"/>
  <c r="Y69" i="1"/>
  <c r="Y87" i="1" s="1"/>
  <c r="AH70" i="1" s="1"/>
  <c r="S69" i="1"/>
  <c r="S87" i="1" s="1"/>
  <c r="AH69" i="1" s="1"/>
  <c r="M69" i="1"/>
  <c r="G69" i="1"/>
  <c r="AD68" i="1"/>
  <c r="AH68" i="1" s="1"/>
  <c r="P66" i="1"/>
  <c r="U66" i="1" s="1"/>
  <c r="AA65" i="1"/>
  <c r="AG66" i="1" s="1"/>
  <c r="K60" i="1"/>
  <c r="AD59" i="1"/>
  <c r="Y59" i="1"/>
  <c r="S59" i="1"/>
  <c r="M59" i="1"/>
  <c r="G59" i="1"/>
  <c r="E59" i="1"/>
  <c r="AD58" i="1"/>
  <c r="Y58" i="1"/>
  <c r="S58" i="1"/>
  <c r="M58" i="1"/>
  <c r="G58" i="1"/>
  <c r="E58" i="1"/>
  <c r="AD57" i="1"/>
  <c r="Y57" i="1"/>
  <c r="S57" i="1"/>
  <c r="M57" i="1"/>
  <c r="G57" i="1"/>
  <c r="E57" i="1"/>
  <c r="AD56" i="1"/>
  <c r="AD60" i="1" s="1"/>
  <c r="Y56" i="1"/>
  <c r="S56" i="1"/>
  <c r="M56" i="1"/>
  <c r="G56" i="1"/>
  <c r="E56" i="1"/>
  <c r="Y55" i="1"/>
  <c r="S55" i="1"/>
  <c r="M55" i="1"/>
  <c r="E55" i="1"/>
  <c r="G55" i="1" s="1"/>
  <c r="Y54" i="1"/>
  <c r="S54" i="1"/>
  <c r="M54" i="1"/>
  <c r="G54" i="1"/>
  <c r="E54" i="1"/>
  <c r="E60" i="1" s="1"/>
  <c r="AH44" i="1" s="1"/>
  <c r="Y53" i="1"/>
  <c r="S53" i="1"/>
  <c r="M53" i="1"/>
  <c r="G53" i="1"/>
  <c r="Y52" i="1"/>
  <c r="S52" i="1"/>
  <c r="M52" i="1"/>
  <c r="G52" i="1"/>
  <c r="Y51" i="1"/>
  <c r="S51" i="1"/>
  <c r="M51" i="1"/>
  <c r="G51" i="1"/>
  <c r="AD50" i="1"/>
  <c r="Y50" i="1"/>
  <c r="S50" i="1"/>
  <c r="M50" i="1"/>
  <c r="G50" i="1"/>
  <c r="AD49" i="1"/>
  <c r="Y49" i="1"/>
  <c r="S49" i="1"/>
  <c r="M49" i="1"/>
  <c r="G49" i="1"/>
  <c r="AD48" i="1"/>
  <c r="Y48" i="1"/>
  <c r="S48" i="1"/>
  <c r="M48" i="1"/>
  <c r="G48" i="1"/>
  <c r="AD47" i="1"/>
  <c r="Y47" i="1"/>
  <c r="S47" i="1"/>
  <c r="M47" i="1"/>
  <c r="G47" i="1"/>
  <c r="AD46" i="1"/>
  <c r="Y46" i="1"/>
  <c r="S46" i="1"/>
  <c r="M46" i="1"/>
  <c r="G46" i="1"/>
  <c r="AD45" i="1"/>
  <c r="AD51" i="1" s="1"/>
  <c r="Y45" i="1"/>
  <c r="S45" i="1"/>
  <c r="M45" i="1"/>
  <c r="G45" i="1"/>
  <c r="Y44" i="1"/>
  <c r="S44" i="1"/>
  <c r="M44" i="1"/>
  <c r="G44" i="1"/>
  <c r="Y43" i="1"/>
  <c r="S43" i="1"/>
  <c r="M43" i="1"/>
  <c r="G43" i="1"/>
  <c r="Y42" i="1"/>
  <c r="Y60" i="1" s="1"/>
  <c r="S42" i="1"/>
  <c r="S60" i="1" s="1"/>
  <c r="M42" i="1"/>
  <c r="G42" i="1"/>
  <c r="AH41" i="1"/>
  <c r="AH61" i="1" s="1"/>
  <c r="AD41" i="1"/>
  <c r="P39" i="1"/>
  <c r="U39" i="1" s="1"/>
  <c r="AA38" i="1"/>
  <c r="AG39" i="1" s="1"/>
  <c r="AM33" i="1"/>
  <c r="AM32" i="1"/>
  <c r="K32" i="1"/>
  <c r="AM31" i="1"/>
  <c r="AD31" i="1"/>
  <c r="Y31" i="1"/>
  <c r="S31" i="1"/>
  <c r="M31" i="1"/>
  <c r="E31" i="1"/>
  <c r="G31" i="1" s="1"/>
  <c r="AD30" i="1"/>
  <c r="Y30" i="1"/>
  <c r="S30" i="1"/>
  <c r="M30" i="1"/>
  <c r="E30" i="1"/>
  <c r="G30" i="1" s="1"/>
  <c r="AM29" i="1"/>
  <c r="AD29" i="1"/>
  <c r="Y29" i="1"/>
  <c r="S29" i="1"/>
  <c r="M29" i="1"/>
  <c r="E29" i="1"/>
  <c r="G29" i="1" s="1"/>
  <c r="AM28" i="1"/>
  <c r="AD28" i="1"/>
  <c r="AD32" i="1" s="1"/>
  <c r="AH20" i="1" s="1"/>
  <c r="AM21" i="1" s="1"/>
  <c r="Y28" i="1"/>
  <c r="S28" i="1"/>
  <c r="M28" i="1"/>
  <c r="E28" i="1"/>
  <c r="G28" i="1" s="1"/>
  <c r="AM27" i="1"/>
  <c r="Y27" i="1"/>
  <c r="S27" i="1"/>
  <c r="M27" i="1"/>
  <c r="E27" i="1"/>
  <c r="G27" i="1" s="1"/>
  <c r="AM26" i="1"/>
  <c r="Y26" i="1"/>
  <c r="S26" i="1"/>
  <c r="M26" i="1"/>
  <c r="E26" i="1"/>
  <c r="E32" i="1" s="1"/>
  <c r="AM25" i="1"/>
  <c r="Y25" i="1"/>
  <c r="S25" i="1"/>
  <c r="M25" i="1"/>
  <c r="G25" i="1"/>
  <c r="AM24" i="1"/>
  <c r="Y24" i="1"/>
  <c r="S24" i="1"/>
  <c r="M24" i="1"/>
  <c r="G24" i="1"/>
  <c r="AM23" i="1"/>
  <c r="Y23" i="1"/>
  <c r="S23" i="1"/>
  <c r="M23" i="1"/>
  <c r="G23" i="1"/>
  <c r="AM22" i="1"/>
  <c r="AD22" i="1"/>
  <c r="Y22" i="1"/>
  <c r="S22" i="1"/>
  <c r="M22" i="1"/>
  <c r="G22" i="1"/>
  <c r="AS21" i="1"/>
  <c r="AR21" i="1"/>
  <c r="AT21" i="1" s="1"/>
  <c r="AD21" i="1"/>
  <c r="Y21" i="1"/>
  <c r="S21" i="1"/>
  <c r="M21" i="1"/>
  <c r="G21" i="1"/>
  <c r="AS20" i="1"/>
  <c r="AR20" i="1"/>
  <c r="AT20" i="1" s="1"/>
  <c r="AM20" i="1"/>
  <c r="AD20" i="1"/>
  <c r="Y20" i="1"/>
  <c r="S20" i="1"/>
  <c r="M20" i="1"/>
  <c r="G20" i="1"/>
  <c r="AS19" i="1"/>
  <c r="AR19" i="1"/>
  <c r="AT19" i="1" s="1"/>
  <c r="AM19" i="1"/>
  <c r="AD19" i="1"/>
  <c r="Y19" i="1"/>
  <c r="S19" i="1"/>
  <c r="M19" i="1"/>
  <c r="G19" i="1"/>
  <c r="AS18" i="1"/>
  <c r="AR18" i="1"/>
  <c r="AT18" i="1" s="1"/>
  <c r="AD18" i="1"/>
  <c r="AD23" i="1" s="1"/>
  <c r="Y18" i="1"/>
  <c r="S18" i="1"/>
  <c r="M18" i="1"/>
  <c r="G18" i="1"/>
  <c r="AS17" i="1"/>
  <c r="AR17" i="1"/>
  <c r="AT17" i="1" s="1"/>
  <c r="AH17" i="1"/>
  <c r="AM18" i="1" s="1"/>
  <c r="Y17" i="1"/>
  <c r="S17" i="1"/>
  <c r="M17" i="1"/>
  <c r="G17" i="1"/>
  <c r="AS16" i="1"/>
  <c r="AR16" i="1"/>
  <c r="AT16" i="1" s="1"/>
  <c r="AH16" i="1"/>
  <c r="AM17" i="1" s="1"/>
  <c r="AR31" i="1" s="1"/>
  <c r="Y16" i="1"/>
  <c r="S16" i="1"/>
  <c r="M16" i="1"/>
  <c r="G16" i="1"/>
  <c r="AS15" i="1"/>
  <c r="AR15" i="1"/>
  <c r="AT15" i="1" s="1"/>
  <c r="AH15" i="1"/>
  <c r="Y15" i="1"/>
  <c r="S15" i="1"/>
  <c r="M15" i="1"/>
  <c r="G15" i="1"/>
  <c r="Y14" i="1"/>
  <c r="Y32" i="1" s="1"/>
  <c r="S14" i="1"/>
  <c r="S32" i="1" s="1"/>
  <c r="AH14" i="1" s="1"/>
  <c r="AM15" i="1" s="1"/>
  <c r="M14" i="1"/>
  <c r="G14" i="1"/>
  <c r="AD13" i="1"/>
  <c r="AH13" i="1" s="1"/>
  <c r="AQ12" i="1"/>
  <c r="U11" i="1"/>
  <c r="AA11" i="1" s="1"/>
  <c r="AG11" i="1" s="1"/>
  <c r="P11" i="1"/>
  <c r="AT22" i="1" l="1"/>
  <c r="AT27" i="1" s="1"/>
  <c r="AV27" i="1" s="1"/>
  <c r="AM16" i="1"/>
  <c r="AR27" i="1" s="1"/>
  <c r="AH169" i="1"/>
  <c r="E31" i="2"/>
  <c r="E59" i="2"/>
  <c r="E86" i="2"/>
  <c r="E113" i="2"/>
  <c r="E140" i="2"/>
  <c r="E167" i="2"/>
  <c r="AH33" i="1"/>
  <c r="AM14" i="1"/>
  <c r="AN18" i="1" s="1"/>
  <c r="AR26" i="1"/>
  <c r="AN23" i="1"/>
  <c r="AN28" i="1"/>
  <c r="AN33" i="1"/>
  <c r="AN22" i="1"/>
  <c r="AN21" i="1"/>
  <c r="AH88" i="1"/>
  <c r="AH115" i="1"/>
  <c r="AH142" i="1"/>
  <c r="G189" i="1"/>
  <c r="G26" i="1"/>
  <c r="G81" i="1"/>
  <c r="G108" i="1"/>
  <c r="AN16" i="1" l="1"/>
  <c r="AM35" i="1"/>
  <c r="AN31" i="1"/>
  <c r="AN24" i="1"/>
  <c r="AN17" i="1"/>
  <c r="AN30" i="1"/>
  <c r="AN29" i="1"/>
  <c r="AN25" i="1"/>
  <c r="AN34" i="1"/>
  <c r="AN32" i="1"/>
  <c r="AN27" i="1"/>
  <c r="AN26" i="1"/>
  <c r="AN19" i="1"/>
  <c r="AN20" i="1"/>
  <c r="AN15" i="1"/>
</calcChain>
</file>

<file path=xl/sharedStrings.xml><?xml version="1.0" encoding="utf-8"?>
<sst xmlns="http://schemas.openxmlformats.org/spreadsheetml/2006/main" count="937" uniqueCount="212">
  <si>
    <t xml:space="preserve">TABLAS DE  SANTA BARBARA  </t>
  </si>
  <si>
    <t>COMPRAS DE MATERIA  POR DIA</t>
  </si>
  <si>
    <t>REGISTRO DE BAJAS Y CONSUMOS POR DIA</t>
  </si>
  <si>
    <t>VENTAS DEL DIA</t>
  </si>
  <si>
    <t>TABLA REGISTRO DIA</t>
  </si>
  <si>
    <t>RESUMEN SEMANAL</t>
  </si>
  <si>
    <t>FECHA:LUNES 6 DE ABRIL</t>
  </si>
  <si>
    <t>MATERIA PRIMA POR DIA</t>
  </si>
  <si>
    <t>PRODUCTO DE EMPAQUE</t>
  </si>
  <si>
    <t>BAJAS</t>
  </si>
  <si>
    <t>CONSUMO</t>
  </si>
  <si>
    <t>DIA</t>
  </si>
  <si>
    <t>TURNO MATUTINO</t>
  </si>
  <si>
    <t>TURNO VESPERTINO</t>
  </si>
  <si>
    <t>TOTAL  VENTA</t>
  </si>
  <si>
    <t>CONCEPTO</t>
  </si>
  <si>
    <t>MONTO</t>
  </si>
  <si>
    <t>NOTAS</t>
  </si>
  <si>
    <t>SEMANA DEL     6    AL 12 DE ABRIL 2026</t>
  </si>
  <si>
    <t>CANTIDAD</t>
  </si>
  <si>
    <t>PRODUCTO</t>
  </si>
  <si>
    <t>PRECIO</t>
  </si>
  <si>
    <t>PESO</t>
  </si>
  <si>
    <t>PRECIO /U</t>
  </si>
  <si>
    <t>Cantidad</t>
  </si>
  <si>
    <t>Variedad</t>
  </si>
  <si>
    <t>Precio</t>
  </si>
  <si>
    <t>Total</t>
  </si>
  <si>
    <t>LUNES</t>
  </si>
  <si>
    <t>VENTA</t>
  </si>
  <si>
    <t>%</t>
  </si>
  <si>
    <t>ALPEZZI</t>
  </si>
  <si>
    <t>BOLSA DE PAPEL #16</t>
  </si>
  <si>
    <t>MOSAICO</t>
  </si>
  <si>
    <t>BOLILLO</t>
  </si>
  <si>
    <t>NUTRILECHE</t>
  </si>
  <si>
    <t>TOSTADAS</t>
  </si>
  <si>
    <t>PAN DE CANELA</t>
  </si>
  <si>
    <t xml:space="preserve">GASTOS  VARIOS  </t>
  </si>
  <si>
    <t>LECHES EN POLVO</t>
  </si>
  <si>
    <t>BOLA DE BERLIN</t>
  </si>
  <si>
    <t>DONA DE MOKA</t>
  </si>
  <si>
    <t>MATERIA PRIMA</t>
  </si>
  <si>
    <t>MARTES</t>
  </si>
  <si>
    <t>MANGA DE MAPLE ALPEZZI</t>
  </si>
  <si>
    <t>EMPANADA DE ATUN</t>
  </si>
  <si>
    <t>M.EMPAQUE</t>
  </si>
  <si>
    <t>MIERCOLES</t>
  </si>
  <si>
    <t>AZUCAR GLASS</t>
  </si>
  <si>
    <t>BIGOTE</t>
  </si>
  <si>
    <t>GAS</t>
  </si>
  <si>
    <t>JUEVES</t>
  </si>
  <si>
    <t>LUZ</t>
  </si>
  <si>
    <t>VIERNES</t>
  </si>
  <si>
    <t>P.LIMPIEZA</t>
  </si>
  <si>
    <t>SABADO</t>
  </si>
  <si>
    <t>CHURROS</t>
  </si>
  <si>
    <t>DOMINGO</t>
  </si>
  <si>
    <t>GELATINAS</t>
  </si>
  <si>
    <t>TOTAL</t>
  </si>
  <si>
    <t>IMPUESTOS</t>
  </si>
  <si>
    <t>PAPELERIA</t>
  </si>
  <si>
    <t>RENTA</t>
  </si>
  <si>
    <t>SANTA</t>
  </si>
  <si>
    <t xml:space="preserve">PRODUCTOS DE LIMPIEZA  </t>
  </si>
  <si>
    <t>AGUA</t>
  </si>
  <si>
    <t>TENA</t>
  </si>
  <si>
    <t>IMSS</t>
  </si>
  <si>
    <t>APOYO</t>
  </si>
  <si>
    <t>GASTOS VARIOS</t>
  </si>
  <si>
    <t>CONTADORA</t>
  </si>
  <si>
    <t>GARRAFON DE AGUA</t>
  </si>
  <si>
    <t>INTERNET</t>
  </si>
  <si>
    <t>VENTA NETA</t>
  </si>
  <si>
    <t>TOTRAL DE GASTOS</t>
  </si>
  <si>
    <t>FECHA:MARTES 7 DE ABRIL</t>
  </si>
  <si>
    <t xml:space="preserve">MATERIA PRIMA </t>
  </si>
  <si>
    <t>CONSUMOS</t>
  </si>
  <si>
    <t>ESPIGA</t>
  </si>
  <si>
    <t>TELERAS</t>
  </si>
  <si>
    <t>MULTI</t>
  </si>
  <si>
    <t>SANTA LUCIA</t>
  </si>
  <si>
    <t>BAGUETTE</t>
  </si>
  <si>
    <t>CONCHA DE VAINILLA</t>
  </si>
  <si>
    <t>CAJAS DE HUEVO</t>
  </si>
  <si>
    <t>BISQUETS</t>
  </si>
  <si>
    <t>MEJORMIX</t>
  </si>
  <si>
    <t>BISQUETS CHOCO</t>
  </si>
  <si>
    <t>CAFÉ</t>
  </si>
  <si>
    <t>MOSAICOS</t>
  </si>
  <si>
    <t>CUERNO NORMAL</t>
  </si>
  <si>
    <t>MANTECA</t>
  </si>
  <si>
    <t>CONCHAS CHOCO</t>
  </si>
  <si>
    <t>HUEVO</t>
  </si>
  <si>
    <t>ABANICO</t>
  </si>
  <si>
    <t>GRANILLO GRANCILLO</t>
  </si>
  <si>
    <t>PAN DE MANTECA</t>
  </si>
  <si>
    <t>AZUCAR</t>
  </si>
  <si>
    <t>CASTAÑAS</t>
  </si>
  <si>
    <t>BARQUILLO ROTO</t>
  </si>
  <si>
    <t>GENDARME</t>
  </si>
  <si>
    <t>D47:G5D47:F59</t>
  </si>
  <si>
    <t>FECHA: MIERCOLES 8 DE ABRIL</t>
  </si>
  <si>
    <t>RECAUDERIA</t>
  </si>
  <si>
    <t>ROLES</t>
  </si>
  <si>
    <t>CUERNO DE HIGO</t>
  </si>
  <si>
    <t>CAMPECHANAS</t>
  </si>
  <si>
    <t>EMPANADA</t>
  </si>
  <si>
    <t>MIL HOJAS</t>
  </si>
  <si>
    <t>CONCHA CHOCO</t>
  </si>
  <si>
    <t>TAXI TRASPASO</t>
  </si>
  <si>
    <t>CHINOS</t>
  </si>
  <si>
    <t>INTEGRAL</t>
  </si>
  <si>
    <t>MUFFINS</t>
  </si>
  <si>
    <t>FECHA:JUEVES 9 DE ABRIL</t>
  </si>
  <si>
    <t>AJONJOLI</t>
  </si>
  <si>
    <t>BOLSA PAPEL #14</t>
  </si>
  <si>
    <t>CONCHAS VAINILLA</t>
  </si>
  <si>
    <t>REBANADAS DE CHOCO</t>
  </si>
  <si>
    <t>SAL</t>
  </si>
  <si>
    <t>CARAT NUXEL</t>
  </si>
  <si>
    <t>CHOCOLATIN</t>
  </si>
  <si>
    <t>RELLENO DE ZARZA</t>
  </si>
  <si>
    <t>GLORIAS</t>
  </si>
  <si>
    <t>SAN ANTONIO AZUL</t>
  </si>
  <si>
    <t>MARINAS</t>
  </si>
  <si>
    <t>SAN ANTONIO ROJA</t>
  </si>
  <si>
    <t>TELERA</t>
  </si>
  <si>
    <t>PASTELERA LECHF</t>
  </si>
  <si>
    <t>CHANTILLY</t>
  </si>
  <si>
    <t>FECHA: VIERNES 10 DE ABRIL</t>
  </si>
  <si>
    <t>JAMON ,QUESO Y PIÑA</t>
  </si>
  <si>
    <t>BIGOTE CHOCO</t>
  </si>
  <si>
    <t>CONCHA VAINILLA</t>
  </si>
  <si>
    <t>DONA DE AZUCAR</t>
  </si>
  <si>
    <t>FECHA: SABADO 11 DE ABRIL</t>
  </si>
  <si>
    <t>MANGA DE VAINILLA ALPEZZI</t>
  </si>
  <si>
    <t>BOLSA TRASPARENTE 60X90</t>
  </si>
  <si>
    <t>MANGA MAPLE</t>
  </si>
  <si>
    <t>BOLSA POLISEDA</t>
  </si>
  <si>
    <t>CREMA DE CACACHUATE</t>
  </si>
  <si>
    <t>CAJA DE GUANTE DESECHABLE</t>
  </si>
  <si>
    <t>RELLENO DE FRESA</t>
  </si>
  <si>
    <t>RELLENO DE CHABACANO</t>
  </si>
  <si>
    <t>HIGO</t>
  </si>
  <si>
    <t>CAJA DE ALPEZZI</t>
  </si>
  <si>
    <t xml:space="preserve">PRODUCTOS DE LIMPIEZA </t>
  </si>
  <si>
    <t>FECHA: DOMINGO 12 DE ABRIL</t>
  </si>
  <si>
    <t>FECHA:LUNES</t>
  </si>
  <si>
    <t>LECHE EN POLVO</t>
  </si>
  <si>
    <t>CAJAS DE POLIPAPEL</t>
  </si>
  <si>
    <t xml:space="preserve">ROLLO </t>
  </si>
  <si>
    <t>CHOCOMILK</t>
  </si>
  <si>
    <t>SURTIDITO</t>
  </si>
  <si>
    <t>EMPANADAS DE  FRESA</t>
  </si>
  <si>
    <t xml:space="preserve"> CAMPECHANA</t>
  </si>
  <si>
    <t>BIGOTES</t>
  </si>
  <si>
    <t>TACOS DE BISQUET</t>
  </si>
  <si>
    <t>BIGOTES CHOCO</t>
  </si>
  <si>
    <t>CUENO DE HIGO</t>
  </si>
  <si>
    <t>POLVORON</t>
  </si>
  <si>
    <t xml:space="preserve">FECHA:MARTES </t>
  </si>
  <si>
    <t xml:space="preserve">DON GUILLERMO </t>
  </si>
  <si>
    <t>GUANTES</t>
  </si>
  <si>
    <t>REBANADA DE ROSCA</t>
  </si>
  <si>
    <t>BOLSA PAPEL 35</t>
  </si>
  <si>
    <t>REBANADA DE ROSCA LIMON</t>
  </si>
  <si>
    <t>TURIN SEMI</t>
  </si>
  <si>
    <t>BOLSA PAPEL 12</t>
  </si>
  <si>
    <t>POLVORONES</t>
  </si>
  <si>
    <t>OREJA</t>
  </si>
  <si>
    <t>NUTRI LECHE</t>
  </si>
  <si>
    <t>BOLSA POLISEDA GRANDE</t>
  </si>
  <si>
    <t>ROLLO</t>
  </si>
  <si>
    <t>NUXEL AVELLANA</t>
  </si>
  <si>
    <t>BOLSA MEDIANA</t>
  </si>
  <si>
    <t>NIDO</t>
  </si>
  <si>
    <t>MAPLE</t>
  </si>
  <si>
    <t>CAJA FRUTEX PIÑA</t>
  </si>
  <si>
    <t>CANELA EN RAJA</t>
  </si>
  <si>
    <t>CANELA  MOLIDA</t>
  </si>
  <si>
    <t>SALVADOS</t>
  </si>
  <si>
    <t>KILO DE NUEZ</t>
  </si>
  <si>
    <t>MAIZENA</t>
  </si>
  <si>
    <t>FECHA: MIERCOLES</t>
  </si>
  <si>
    <t>AMERICANA</t>
  </si>
  <si>
    <t>JITOMATE</t>
  </si>
  <si>
    <t>INTEGRALES</t>
  </si>
  <si>
    <t>ATUN</t>
  </si>
  <si>
    <t>PAY DE QUESO</t>
  </si>
  <si>
    <t>FECHA:JUEVES</t>
  </si>
  <si>
    <t>QUESOS</t>
  </si>
  <si>
    <t>LEVADURA</t>
  </si>
  <si>
    <t xml:space="preserve">GENDARME </t>
  </si>
  <si>
    <t>CHURRO</t>
  </si>
  <si>
    <t xml:space="preserve">   </t>
  </si>
  <si>
    <t>FECHA: VIERNES</t>
  </si>
  <si>
    <t>FECHA: SABADO</t>
  </si>
  <si>
    <t xml:space="preserve">PAN DE CANELA </t>
  </si>
  <si>
    <t>CAMPECHANA</t>
  </si>
  <si>
    <t>BISQUETS DE CHOCO</t>
  </si>
  <si>
    <t>DIDI</t>
  </si>
  <si>
    <t>FECHA: DOMINGO</t>
  </si>
  <si>
    <t>CUCHARAS</t>
  </si>
  <si>
    <t>PASTAS SECAS</t>
  </si>
  <si>
    <t>MARINA</t>
  </si>
  <si>
    <t>RIEL</t>
  </si>
  <si>
    <t>DONA CHOCO</t>
  </si>
  <si>
    <t>QUESO</t>
  </si>
  <si>
    <t>CASTAÑA</t>
  </si>
  <si>
    <t>FLORES SEÑORA ROSY</t>
  </si>
  <si>
    <t>VENTAS DE LA SEMANA  DE  SANTA Y TENA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</si>
</sst>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3" fillId="3" borderId="0" xfId="0" applyFont="1" applyFill="1"/>
    <xf numFmtId="0" fontId="2" fillId="3" borderId="0" xfId="0" applyFont="1" applyFill="1"/>
    <xf numFmtId="0" fontId="0" fillId="3" borderId="0" xfId="0" applyFill="1"/>
    <xf numFmtId="0" fontId="2" fillId="0" borderId="0" xfId="0" applyFont="1"/>
    <xf numFmtId="0" fontId="4" fillId="0" borderId="0" xfId="0" applyFont="1"/>
    <xf numFmtId="0" fontId="4" fillId="2" borderId="0" xfId="0" applyFont="1" applyFill="1"/>
    <xf numFmtId="0" fontId="0" fillId="7" borderId="0" xfId="0" applyFill="1"/>
    <xf numFmtId="0" fontId="5" fillId="7" borderId="0" xfId="0" applyFont="1" applyFill="1"/>
    <xf numFmtId="14" fontId="5" fillId="7" borderId="0" xfId="0" applyNumberFormat="1" applyFont="1" applyFill="1"/>
    <xf numFmtId="0" fontId="0" fillId="7" borderId="4" xfId="0" applyFill="1" applyBorder="1"/>
    <xf numFmtId="0" fontId="0" fillId="2" borderId="4" xfId="0" applyFill="1" applyBorder="1"/>
    <xf numFmtId="0" fontId="0" fillId="6" borderId="4" xfId="0" applyFill="1" applyBorder="1"/>
    <xf numFmtId="0" fontId="0" fillId="8" borderId="4" xfId="0" applyFill="1" applyBorder="1"/>
    <xf numFmtId="0" fontId="6" fillId="0" borderId="0" xfId="0" applyFont="1"/>
    <xf numFmtId="0" fontId="0" fillId="0" borderId="4" xfId="0" applyBorder="1"/>
    <xf numFmtId="44" fontId="0" fillId="7" borderId="4" xfId="1" applyFont="1" applyFill="1" applyBorder="1"/>
    <xf numFmtId="44" fontId="0" fillId="7" borderId="1" xfId="1" applyFont="1" applyFill="1" applyBorder="1"/>
    <xf numFmtId="0" fontId="0" fillId="9" borderId="4" xfId="0" applyFill="1" applyBorder="1"/>
    <xf numFmtId="44" fontId="0" fillId="0" borderId="4" xfId="0" applyNumberFormat="1" applyBorder="1"/>
    <xf numFmtId="9" fontId="0" fillId="6" borderId="0" xfId="2" applyFont="1" applyFill="1" applyBorder="1" applyAlignment="1">
      <alignment horizontal="center"/>
    </xf>
    <xf numFmtId="0" fontId="0" fillId="10" borderId="1" xfId="0" applyFill="1" applyBorder="1"/>
    <xf numFmtId="0" fontId="0" fillId="10" borderId="3" xfId="0" applyFill="1" applyBorder="1"/>
    <xf numFmtId="0" fontId="0" fillId="0" borderId="4" xfId="0" applyNumberFormat="1" applyBorder="1"/>
    <xf numFmtId="44" fontId="0" fillId="0" borderId="4" xfId="1" applyFont="1" applyBorder="1"/>
    <xf numFmtId="0" fontId="0" fillId="0" borderId="4" xfId="1" applyNumberFormat="1" applyFont="1" applyBorder="1"/>
    <xf numFmtId="44" fontId="0" fillId="0" borderId="4" xfId="0" applyNumberForma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11" borderId="0" xfId="0" applyFill="1"/>
    <xf numFmtId="0" fontId="7" fillId="11" borderId="0" xfId="0" applyFont="1" applyFill="1"/>
    <xf numFmtId="14" fontId="7" fillId="11" borderId="0" xfId="0" applyNumberFormat="1" applyFont="1" applyFill="1"/>
    <xf numFmtId="0" fontId="7" fillId="11" borderId="4" xfId="0" applyFont="1" applyFill="1" applyBorder="1"/>
    <xf numFmtId="0" fontId="0" fillId="12" borderId="1" xfId="0" applyFill="1" applyBorder="1"/>
    <xf numFmtId="0" fontId="0" fillId="12" borderId="3" xfId="0" applyFill="1" applyBorder="1"/>
    <xf numFmtId="0" fontId="0" fillId="13" borderId="4" xfId="0" applyFill="1" applyBorder="1"/>
    <xf numFmtId="44" fontId="0" fillId="13" borderId="4" xfId="0" applyNumberFormat="1" applyFill="1" applyBorder="1"/>
    <xf numFmtId="9" fontId="0" fillId="0" borderId="0" xfId="2" applyFont="1" applyAlignment="1">
      <alignment horizontal="center"/>
    </xf>
    <xf numFmtId="0" fontId="0" fillId="11" borderId="4" xfId="0" applyFill="1" applyBorder="1"/>
    <xf numFmtId="44" fontId="0" fillId="11" borderId="4" xfId="1" applyFont="1" applyFill="1" applyBorder="1"/>
    <xf numFmtId="44" fontId="0" fillId="11" borderId="1" xfId="1" applyFont="1" applyFill="1" applyBorder="1"/>
    <xf numFmtId="0" fontId="0" fillId="0" borderId="1" xfId="0" applyBorder="1"/>
    <xf numFmtId="0" fontId="0" fillId="0" borderId="2" xfId="0" applyBorder="1"/>
    <xf numFmtId="44" fontId="0" fillId="14" borderId="3" xfId="0" applyNumberFormat="1" applyFill="1" applyBorder="1"/>
    <xf numFmtId="0" fontId="0" fillId="0" borderId="0" xfId="0" applyBorder="1"/>
    <xf numFmtId="44" fontId="0" fillId="0" borderId="0" xfId="1" applyFont="1" applyBorder="1"/>
    <xf numFmtId="0" fontId="0" fillId="15" borderId="1" xfId="0" applyFill="1" applyBorder="1"/>
    <xf numFmtId="0" fontId="0" fillId="15" borderId="3" xfId="0" applyFill="1" applyBorder="1"/>
    <xf numFmtId="0" fontId="0" fillId="4" borderId="0" xfId="0" applyFill="1"/>
    <xf numFmtId="9" fontId="0" fillId="16" borderId="0" xfId="2" applyFont="1" applyFill="1"/>
    <xf numFmtId="44" fontId="0" fillId="2" borderId="0" xfId="0" applyNumberFormat="1" applyFill="1"/>
    <xf numFmtId="44" fontId="0" fillId="4" borderId="0" xfId="1" applyFont="1" applyFill="1"/>
    <xf numFmtId="44" fontId="0" fillId="16" borderId="0" xfId="1" applyFont="1" applyFill="1"/>
    <xf numFmtId="44" fontId="0" fillId="3" borderId="4" xfId="1" applyFont="1" applyFill="1" applyBorder="1"/>
    <xf numFmtId="0" fontId="0" fillId="3" borderId="4" xfId="0" applyFill="1" applyBorder="1"/>
    <xf numFmtId="44" fontId="0" fillId="7" borderId="4" xfId="0" applyNumberFormat="1" applyFill="1" applyBorder="1"/>
    <xf numFmtId="44" fontId="0" fillId="2" borderId="4" xfId="0" applyNumberFormat="1" applyFill="1" applyBorder="1"/>
    <xf numFmtId="0" fontId="8" fillId="13" borderId="4" xfId="0" applyFont="1" applyFill="1" applyBorder="1"/>
    <xf numFmtId="0" fontId="0" fillId="17" borderId="4" xfId="0" applyFill="1" applyBorder="1"/>
    <xf numFmtId="44" fontId="0" fillId="17" borderId="4" xfId="0" applyNumberFormat="1" applyFill="1" applyBorder="1"/>
    <xf numFmtId="0" fontId="0" fillId="17" borderId="0" xfId="0" applyFill="1" applyBorder="1"/>
    <xf numFmtId="44" fontId="0" fillId="17" borderId="0" xfId="0" applyNumberFormat="1" applyFill="1" applyBorder="1"/>
    <xf numFmtId="44" fontId="0" fillId="8" borderId="4" xfId="0" applyNumberFormat="1" applyFill="1" applyBorder="1"/>
    <xf numFmtId="0" fontId="0" fillId="0" borderId="3" xfId="0" applyBorder="1"/>
    <xf numFmtId="0" fontId="0" fillId="18" borderId="5" xfId="0" applyFill="1" applyBorder="1"/>
    <xf numFmtId="16" fontId="0" fillId="0" borderId="4" xfId="0" applyNumberFormat="1" applyBorder="1"/>
    <xf numFmtId="0" fontId="0" fillId="8" borderId="0" xfId="0" applyFill="1"/>
    <xf numFmtId="0" fontId="0" fillId="8" borderId="1" xfId="0" applyFill="1" applyBorder="1"/>
    <xf numFmtId="0" fontId="0" fillId="8" borderId="3" xfId="0" applyFill="1" applyBorder="1"/>
    <xf numFmtId="0" fontId="0" fillId="8" borderId="4" xfId="0" applyNumberFormat="1" applyFill="1" applyBorder="1"/>
    <xf numFmtId="44" fontId="0" fillId="8" borderId="4" xfId="1" applyFont="1" applyFill="1" applyBorder="1"/>
    <xf numFmtId="0" fontId="0" fillId="8" borderId="4" xfId="1" applyNumberFormat="1" applyFont="1" applyFill="1" applyBorder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8" borderId="3" xfId="0" applyFill="1" applyBorder="1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AV195"/>
  <sheetViews>
    <sheetView tabSelected="1" topLeftCell="AJ7" workbookViewId="0">
      <selection activeCell="AT25" sqref="AT25"/>
    </sheetView>
  </sheetViews>
  <sheetFormatPr baseColWidth="10" defaultRowHeight="15" x14ac:dyDescent="0.25"/>
  <cols>
    <col min="17" max="17" width="15.85546875" customWidth="1"/>
    <col min="22" max="22" width="17.5703125" customWidth="1"/>
  </cols>
  <sheetData>
    <row r="6" spans="3:48" ht="28.5" x14ac:dyDescent="0.45">
      <c r="D6" s="1" t="s">
        <v>0</v>
      </c>
      <c r="E6" s="1"/>
      <c r="F6" s="1"/>
      <c r="G6" s="2"/>
      <c r="H6" s="2"/>
      <c r="O6" s="3"/>
      <c r="AL6" s="4"/>
      <c r="AM6" s="5"/>
      <c r="AN6" s="1" t="s">
        <v>0</v>
      </c>
      <c r="AO6" s="1"/>
      <c r="AP6" s="1"/>
      <c r="AQ6" s="2"/>
      <c r="AR6" s="6"/>
      <c r="AS6" s="6"/>
      <c r="AT6" s="6"/>
      <c r="AU6" s="2"/>
      <c r="AV6" s="2"/>
    </row>
    <row r="7" spans="3:48" x14ac:dyDescent="0.25">
      <c r="AB7" s="6"/>
    </row>
    <row r="8" spans="3:48" x14ac:dyDescent="0.25">
      <c r="J8">
        <v>0</v>
      </c>
    </row>
    <row r="9" spans="3:48" ht="28.5" x14ac:dyDescent="0.45">
      <c r="D9" s="7"/>
      <c r="F9" s="1" t="s">
        <v>1</v>
      </c>
      <c r="G9" s="2"/>
      <c r="H9" s="2"/>
      <c r="I9" s="2"/>
      <c r="J9" s="2"/>
      <c r="Q9" s="8"/>
      <c r="R9" s="9" t="s">
        <v>2</v>
      </c>
      <c r="S9" s="9"/>
      <c r="T9" s="9"/>
      <c r="U9" s="2"/>
      <c r="V9" s="2"/>
      <c r="W9" s="2"/>
      <c r="AA9" s="9" t="s">
        <v>3</v>
      </c>
      <c r="AB9" s="2"/>
      <c r="AC9" s="2"/>
      <c r="AG9" s="9" t="s">
        <v>4</v>
      </c>
      <c r="AH9" s="2"/>
      <c r="AI9" s="2"/>
      <c r="AL9" s="8"/>
      <c r="AN9" s="9" t="s">
        <v>5</v>
      </c>
      <c r="AO9" s="2"/>
      <c r="AP9" s="2"/>
    </row>
    <row r="10" spans="3:48" ht="28.5" x14ac:dyDescent="0.45">
      <c r="D10" s="7"/>
      <c r="F10" s="7"/>
      <c r="Q10" s="8"/>
      <c r="R10" s="8"/>
      <c r="S10" s="8"/>
      <c r="T10" s="8"/>
      <c r="AA10" s="8"/>
      <c r="AG10" s="8"/>
      <c r="AL10" s="8"/>
      <c r="AN10" s="8"/>
    </row>
    <row r="11" spans="3:48" x14ac:dyDescent="0.25">
      <c r="C11" t="s">
        <v>6</v>
      </c>
      <c r="P11" t="str">
        <f>C11</f>
        <v>FECHA:LUNES 6 DE ABRIL</v>
      </c>
      <c r="U11" t="str">
        <f>P11</f>
        <v>FECHA:LUNES 6 DE ABRIL</v>
      </c>
      <c r="AA11" t="str">
        <f>U11</f>
        <v>FECHA:LUNES 6 DE ABRIL</v>
      </c>
      <c r="AG11" t="str">
        <f>AA11</f>
        <v>FECHA:LUNES 6 DE ABRIL</v>
      </c>
    </row>
    <row r="12" spans="3:48" ht="18.75" x14ac:dyDescent="0.3">
      <c r="C12" s="86" t="s">
        <v>7</v>
      </c>
      <c r="D12" s="87"/>
      <c r="E12" s="87"/>
      <c r="F12" s="87"/>
      <c r="G12" s="88"/>
      <c r="I12" s="77" t="s">
        <v>8</v>
      </c>
      <c r="J12" s="78"/>
      <c r="K12" s="78"/>
      <c r="L12" s="78"/>
      <c r="M12" s="79"/>
      <c r="P12" s="74" t="s">
        <v>9</v>
      </c>
      <c r="Q12" s="75"/>
      <c r="R12" s="75"/>
      <c r="S12" s="76"/>
      <c r="U12" s="80" t="s">
        <v>10</v>
      </c>
      <c r="V12" s="81"/>
      <c r="W12" s="81"/>
      <c r="X12" s="81"/>
      <c r="Y12" s="82"/>
      <c r="AA12" s="10" t="s">
        <v>11</v>
      </c>
      <c r="AB12" s="11" t="s">
        <v>12</v>
      </c>
      <c r="AC12" s="12" t="s">
        <v>13</v>
      </c>
      <c r="AD12" s="13" t="s">
        <v>14</v>
      </c>
      <c r="AG12" s="14" t="s">
        <v>15</v>
      </c>
      <c r="AH12" s="15" t="s">
        <v>16</v>
      </c>
      <c r="AI12" s="16" t="s">
        <v>17</v>
      </c>
      <c r="AL12" s="17" t="s">
        <v>18</v>
      </c>
      <c r="AM12" s="17"/>
      <c r="AN12" s="17"/>
      <c r="AQ12" s="17" t="str">
        <f>AL12</f>
        <v>SEMANA DEL     6    AL 12 DE ABRIL 2026</v>
      </c>
      <c r="AR12" s="17"/>
      <c r="AS12" s="17"/>
    </row>
    <row r="13" spans="3:48" x14ac:dyDescent="0.25">
      <c r="C13" s="18" t="s">
        <v>19</v>
      </c>
      <c r="D13" s="18" t="s">
        <v>20</v>
      </c>
      <c r="E13" s="18" t="s">
        <v>21</v>
      </c>
      <c r="F13" s="18" t="s">
        <v>22</v>
      </c>
      <c r="G13" s="18" t="s">
        <v>23</v>
      </c>
      <c r="I13" s="18" t="s">
        <v>19</v>
      </c>
      <c r="J13" s="18" t="s">
        <v>20</v>
      </c>
      <c r="K13" s="18" t="s">
        <v>21</v>
      </c>
      <c r="L13" s="18" t="s">
        <v>22</v>
      </c>
      <c r="M13" s="18" t="s">
        <v>23</v>
      </c>
      <c r="P13" s="18" t="s">
        <v>24</v>
      </c>
      <c r="Q13" s="18" t="s">
        <v>25</v>
      </c>
      <c r="R13" s="18" t="s">
        <v>26</v>
      </c>
      <c r="S13" s="18" t="s">
        <v>27</v>
      </c>
      <c r="U13" s="18" t="s">
        <v>24</v>
      </c>
      <c r="V13" s="18" t="s">
        <v>25</v>
      </c>
      <c r="W13" s="18"/>
      <c r="X13" s="18" t="s">
        <v>26</v>
      </c>
      <c r="Y13" s="18" t="s">
        <v>27</v>
      </c>
      <c r="AA13" s="13" t="s">
        <v>28</v>
      </c>
      <c r="AB13" s="19">
        <v>3253</v>
      </c>
      <c r="AC13" s="20">
        <v>2623.5</v>
      </c>
      <c r="AD13" s="19">
        <f>AB13+AC13</f>
        <v>5876.5</v>
      </c>
      <c r="AG13" s="21" t="s">
        <v>29</v>
      </c>
      <c r="AH13" s="22">
        <f>AD13</f>
        <v>5876.5</v>
      </c>
      <c r="AI13" s="18"/>
      <c r="AL13" s="14" t="s">
        <v>15</v>
      </c>
      <c r="AM13" s="15" t="s">
        <v>16</v>
      </c>
      <c r="AN13" s="23" t="s">
        <v>30</v>
      </c>
      <c r="AQ13" s="24" t="s">
        <v>3</v>
      </c>
      <c r="AR13" s="25"/>
    </row>
    <row r="14" spans="3:48" x14ac:dyDescent="0.25">
      <c r="C14" s="26">
        <v>10</v>
      </c>
      <c r="D14" s="18" t="s">
        <v>31</v>
      </c>
      <c r="E14" s="27">
        <v>1180</v>
      </c>
      <c r="F14" s="27">
        <v>10</v>
      </c>
      <c r="G14" s="27">
        <f>E14/F14</f>
        <v>118</v>
      </c>
      <c r="I14" s="18">
        <v>1</v>
      </c>
      <c r="J14" s="18" t="s">
        <v>32</v>
      </c>
      <c r="K14" s="27">
        <v>83</v>
      </c>
      <c r="L14" s="28"/>
      <c r="M14" s="27" t="e">
        <f>K14/L14</f>
        <v>#DIV/0!</v>
      </c>
      <c r="P14" s="18">
        <v>1</v>
      </c>
      <c r="Q14" s="18" t="s">
        <v>33</v>
      </c>
      <c r="R14" s="27">
        <v>20</v>
      </c>
      <c r="S14" s="27">
        <f t="shared" ref="S14:S31" si="0">P14*R14</f>
        <v>20</v>
      </c>
      <c r="U14" s="18">
        <v>2</v>
      </c>
      <c r="V14" s="18" t="s">
        <v>34</v>
      </c>
      <c r="W14" s="18"/>
      <c r="X14" s="27">
        <v>3.5</v>
      </c>
      <c r="Y14" s="27">
        <f t="shared" ref="Y14:Y31" si="1">U14*X14</f>
        <v>7</v>
      </c>
      <c r="AG14" s="18" t="s">
        <v>9</v>
      </c>
      <c r="AH14" s="22">
        <f>S32</f>
        <v>125</v>
      </c>
      <c r="AI14" s="18"/>
      <c r="AL14" s="21" t="s">
        <v>29</v>
      </c>
      <c r="AM14" s="29">
        <f>AH13+AH41+AH68+AH95+AH122+AH149+AH176+AH203</f>
        <v>46192</v>
      </c>
      <c r="AN14" s="30"/>
      <c r="AO14" s="30"/>
      <c r="AP14" s="30"/>
      <c r="AQ14" s="31"/>
      <c r="AR14" s="32" t="s">
        <v>12</v>
      </c>
      <c r="AS14" s="33" t="s">
        <v>13</v>
      </c>
      <c r="AT14" s="34" t="s">
        <v>14</v>
      </c>
    </row>
    <row r="15" spans="3:48" x14ac:dyDescent="0.25">
      <c r="C15" s="26">
        <v>24</v>
      </c>
      <c r="D15" s="18" t="s">
        <v>35</v>
      </c>
      <c r="E15" s="27">
        <v>460</v>
      </c>
      <c r="F15" s="27">
        <v>24</v>
      </c>
      <c r="G15" s="27">
        <f>E15/F15</f>
        <v>19.166666666666668</v>
      </c>
      <c r="I15" s="18"/>
      <c r="J15" s="18"/>
      <c r="K15" s="27">
        <v>0</v>
      </c>
      <c r="L15" s="28"/>
      <c r="M15" s="27" t="e">
        <f t="shared" ref="M15:M31" si="2">K15/L15</f>
        <v>#DIV/0!</v>
      </c>
      <c r="P15" s="18">
        <v>5</v>
      </c>
      <c r="Q15" s="18" t="s">
        <v>36</v>
      </c>
      <c r="R15" s="27">
        <v>17</v>
      </c>
      <c r="S15" s="27">
        <f t="shared" si="0"/>
        <v>85</v>
      </c>
      <c r="U15" s="18">
        <v>1</v>
      </c>
      <c r="V15" s="18" t="s">
        <v>37</v>
      </c>
      <c r="W15" s="18"/>
      <c r="X15" s="27">
        <v>14</v>
      </c>
      <c r="Y15" s="27">
        <f t="shared" si="1"/>
        <v>14</v>
      </c>
      <c r="AA15" s="35" t="s">
        <v>38</v>
      </c>
      <c r="AB15" s="36"/>
      <c r="AG15" s="21" t="s">
        <v>10</v>
      </c>
      <c r="AH15" s="22">
        <f>Y32</f>
        <v>96</v>
      </c>
      <c r="AI15" s="18"/>
      <c r="AL15" s="37" t="s">
        <v>9</v>
      </c>
      <c r="AM15" s="38">
        <f>AH14+AH42+AH69+AH96+AH123+AH150+AH177+AH204</f>
        <v>1100</v>
      </c>
      <c r="AN15" s="39">
        <f>AM15/AM14</f>
        <v>2.3813647384828541E-2</v>
      </c>
      <c r="AQ15" s="40" t="s">
        <v>28</v>
      </c>
      <c r="AR15" s="41">
        <f>AB13</f>
        <v>3253</v>
      </c>
      <c r="AS15" s="42">
        <f>AC13</f>
        <v>2623.5</v>
      </c>
      <c r="AT15" s="41">
        <f t="shared" ref="AT15:AT21" si="3">AR15+AS15</f>
        <v>5876.5</v>
      </c>
    </row>
    <row r="16" spans="3:48" x14ac:dyDescent="0.25">
      <c r="C16" s="26">
        <v>2</v>
      </c>
      <c r="D16" s="18" t="s">
        <v>39</v>
      </c>
      <c r="E16" s="27">
        <v>180</v>
      </c>
      <c r="F16" s="27">
        <v>2</v>
      </c>
      <c r="G16" s="27">
        <f t="shared" ref="G16:G31" si="4">E16/F16</f>
        <v>90</v>
      </c>
      <c r="I16" s="18"/>
      <c r="J16" s="18"/>
      <c r="K16" s="27">
        <v>0</v>
      </c>
      <c r="L16" s="26"/>
      <c r="M16" s="27" t="e">
        <f t="shared" si="2"/>
        <v>#DIV/0!</v>
      </c>
      <c r="P16" s="18">
        <v>1</v>
      </c>
      <c r="Q16" s="18" t="s">
        <v>40</v>
      </c>
      <c r="R16" s="27">
        <v>20</v>
      </c>
      <c r="S16" s="27">
        <f t="shared" si="0"/>
        <v>20</v>
      </c>
      <c r="U16" s="18">
        <v>1</v>
      </c>
      <c r="V16" s="18" t="s">
        <v>41</v>
      </c>
      <c r="W16" s="18"/>
      <c r="X16" s="27">
        <v>16</v>
      </c>
      <c r="Y16" s="27">
        <f t="shared" si="1"/>
        <v>16</v>
      </c>
      <c r="AA16" s="18" t="s">
        <v>24</v>
      </c>
      <c r="AB16" s="18" t="s">
        <v>25</v>
      </c>
      <c r="AC16" s="18" t="s">
        <v>26</v>
      </c>
      <c r="AD16" s="18" t="s">
        <v>27</v>
      </c>
      <c r="AG16" s="18" t="s">
        <v>42</v>
      </c>
      <c r="AH16" s="22">
        <f>E32</f>
        <v>2209</v>
      </c>
      <c r="AI16" s="18"/>
      <c r="AL16" s="37" t="s">
        <v>10</v>
      </c>
      <c r="AM16" s="38">
        <f>AH15+AH43+AH70++AH97+AH124+AH151++AH178+AH205</f>
        <v>314</v>
      </c>
      <c r="AN16" s="39">
        <f>AM16/AM14</f>
        <v>6.7977138898510561E-3</v>
      </c>
      <c r="AQ16" s="40" t="s">
        <v>43</v>
      </c>
      <c r="AR16" s="41">
        <f>AB41</f>
        <v>2703</v>
      </c>
      <c r="AS16" s="42">
        <f>AC41</f>
        <v>3350</v>
      </c>
      <c r="AT16" s="41">
        <f t="shared" si="3"/>
        <v>6053</v>
      </c>
    </row>
    <row r="17" spans="3:48" x14ac:dyDescent="0.25">
      <c r="C17" s="26">
        <v>1</v>
      </c>
      <c r="D17" s="18" t="s">
        <v>44</v>
      </c>
      <c r="E17" s="27">
        <v>214</v>
      </c>
      <c r="F17" s="27">
        <v>1</v>
      </c>
      <c r="G17" s="27">
        <f t="shared" si="4"/>
        <v>214</v>
      </c>
      <c r="I17" s="18"/>
      <c r="J17" s="18"/>
      <c r="K17" s="27">
        <v>0</v>
      </c>
      <c r="L17" s="26"/>
      <c r="M17" s="27" t="e">
        <f t="shared" si="2"/>
        <v>#DIV/0!</v>
      </c>
      <c r="P17" s="18"/>
      <c r="Q17" s="18"/>
      <c r="R17" s="27">
        <v>0</v>
      </c>
      <c r="S17" s="27">
        <f t="shared" si="0"/>
        <v>0</v>
      </c>
      <c r="U17" s="18">
        <v>1</v>
      </c>
      <c r="V17" s="18" t="s">
        <v>45</v>
      </c>
      <c r="W17" s="18"/>
      <c r="X17" s="27">
        <v>25</v>
      </c>
      <c r="Y17" s="27">
        <f t="shared" si="1"/>
        <v>25</v>
      </c>
      <c r="AA17" s="18"/>
      <c r="AB17" s="18"/>
      <c r="AC17" s="27">
        <v>0</v>
      </c>
      <c r="AD17" s="27">
        <v>0</v>
      </c>
      <c r="AG17" s="21" t="s">
        <v>46</v>
      </c>
      <c r="AH17" s="22">
        <f>K32</f>
        <v>83</v>
      </c>
      <c r="AI17" s="18"/>
      <c r="AL17" s="37" t="s">
        <v>42</v>
      </c>
      <c r="AM17" s="38">
        <f>AH16+AH44+AH71+AH98+AH125+AH152+AH179+AH206</f>
        <v>21563.48</v>
      </c>
      <c r="AN17" s="39">
        <f>AM17/AM14</f>
        <v>0.46682282646345685</v>
      </c>
      <c r="AQ17" s="40" t="s">
        <v>47</v>
      </c>
      <c r="AR17" s="41">
        <f>AB68</f>
        <v>3075.5</v>
      </c>
      <c r="AS17" s="42">
        <f>AC68</f>
        <v>1918</v>
      </c>
      <c r="AT17" s="41">
        <f t="shared" si="3"/>
        <v>4993.5</v>
      </c>
    </row>
    <row r="18" spans="3:48" x14ac:dyDescent="0.25">
      <c r="C18" s="26">
        <v>5</v>
      </c>
      <c r="D18" s="18" t="s">
        <v>48</v>
      </c>
      <c r="E18" s="27">
        <v>175</v>
      </c>
      <c r="F18" s="27">
        <v>5</v>
      </c>
      <c r="G18" s="27">
        <f t="shared" si="4"/>
        <v>35</v>
      </c>
      <c r="I18" s="18"/>
      <c r="J18" s="18"/>
      <c r="K18" s="27">
        <v>0</v>
      </c>
      <c r="L18" s="26"/>
      <c r="M18" s="27" t="e">
        <f t="shared" si="2"/>
        <v>#DIV/0!</v>
      </c>
      <c r="P18" s="26"/>
      <c r="Q18" s="18"/>
      <c r="R18" s="27">
        <v>0</v>
      </c>
      <c r="S18" s="27">
        <f t="shared" si="0"/>
        <v>0</v>
      </c>
      <c r="U18" s="18">
        <v>2</v>
      </c>
      <c r="V18" s="18" t="s">
        <v>49</v>
      </c>
      <c r="W18" s="18"/>
      <c r="X18" s="27">
        <v>17</v>
      </c>
      <c r="Y18" s="27">
        <f t="shared" si="1"/>
        <v>34</v>
      </c>
      <c r="AA18" s="18"/>
      <c r="AB18" s="18"/>
      <c r="AC18" s="27">
        <v>0</v>
      </c>
      <c r="AD18" s="27">
        <f>AA18*AC18</f>
        <v>0</v>
      </c>
      <c r="AG18" s="18" t="s">
        <v>50</v>
      </c>
      <c r="AH18" s="27">
        <v>0</v>
      </c>
      <c r="AI18" s="18"/>
      <c r="AL18" s="37" t="s">
        <v>46</v>
      </c>
      <c r="AM18" s="38">
        <f>AH17+AH45+AH72+++AH99+AH126+AH153+AH180+AH207</f>
        <v>325</v>
      </c>
      <c r="AN18" s="39">
        <f>AM18/AM14</f>
        <v>7.0358503636993421E-3</v>
      </c>
      <c r="AQ18" s="40" t="s">
        <v>51</v>
      </c>
      <c r="AR18" s="41">
        <f>AB95</f>
        <v>3190</v>
      </c>
      <c r="AS18" s="42">
        <f>AC95</f>
        <v>2686</v>
      </c>
      <c r="AT18" s="41">
        <f t="shared" si="3"/>
        <v>5876</v>
      </c>
    </row>
    <row r="19" spans="3:48" x14ac:dyDescent="0.25">
      <c r="C19" s="26"/>
      <c r="D19" s="18"/>
      <c r="E19" s="27">
        <v>0</v>
      </c>
      <c r="F19" s="27">
        <v>0</v>
      </c>
      <c r="G19" s="27" t="e">
        <f t="shared" si="4"/>
        <v>#DIV/0!</v>
      </c>
      <c r="I19" s="18"/>
      <c r="J19" s="18"/>
      <c r="K19" s="27">
        <v>0</v>
      </c>
      <c r="L19" s="26"/>
      <c r="M19" s="27" t="e">
        <f t="shared" si="2"/>
        <v>#DIV/0!</v>
      </c>
      <c r="P19" s="26"/>
      <c r="Q19" s="18"/>
      <c r="R19" s="27">
        <v>0</v>
      </c>
      <c r="S19" s="27">
        <f t="shared" si="0"/>
        <v>0</v>
      </c>
      <c r="U19" s="18"/>
      <c r="V19" s="18"/>
      <c r="W19" s="18"/>
      <c r="X19" s="27">
        <v>0</v>
      </c>
      <c r="Y19" s="27">
        <f t="shared" si="1"/>
        <v>0</v>
      </c>
      <c r="AA19" s="18"/>
      <c r="AB19" s="18"/>
      <c r="AC19" s="27">
        <v>0</v>
      </c>
      <c r="AD19" s="27">
        <f>AA19*AC19</f>
        <v>0</v>
      </c>
      <c r="AG19" s="21" t="s">
        <v>52</v>
      </c>
      <c r="AH19" s="27">
        <v>0</v>
      </c>
      <c r="AI19" s="18"/>
      <c r="AL19" s="37" t="s">
        <v>50</v>
      </c>
      <c r="AM19" s="38">
        <f>AH18+AH46+AH73+AH100+AH127+AH154+AH181+AH208</f>
        <v>1540</v>
      </c>
      <c r="AN19" s="39">
        <f>AM19/AM14</f>
        <v>3.3339106338759958E-2</v>
      </c>
      <c r="AQ19" s="40" t="s">
        <v>53</v>
      </c>
      <c r="AR19" s="41">
        <f>AB122</f>
        <v>3221</v>
      </c>
      <c r="AS19" s="42">
        <f>AC122</f>
        <v>4309</v>
      </c>
      <c r="AT19" s="41">
        <f t="shared" si="3"/>
        <v>7530</v>
      </c>
    </row>
    <row r="20" spans="3:48" x14ac:dyDescent="0.25">
      <c r="C20" s="26"/>
      <c r="D20" s="18"/>
      <c r="E20" s="27">
        <v>0</v>
      </c>
      <c r="F20" s="27">
        <v>0</v>
      </c>
      <c r="G20" s="27" t="e">
        <f t="shared" si="4"/>
        <v>#DIV/0!</v>
      </c>
      <c r="I20" s="18"/>
      <c r="J20" s="18"/>
      <c r="K20" s="27">
        <v>0</v>
      </c>
      <c r="L20" s="26"/>
      <c r="M20" s="27" t="e">
        <f t="shared" si="2"/>
        <v>#DIV/0!</v>
      </c>
      <c r="P20" s="26"/>
      <c r="Q20" s="18"/>
      <c r="R20" s="27">
        <v>0</v>
      </c>
      <c r="S20" s="27">
        <f t="shared" si="0"/>
        <v>0</v>
      </c>
      <c r="U20" s="18"/>
      <c r="V20" s="18"/>
      <c r="W20" s="18"/>
      <c r="X20" s="27">
        <v>0</v>
      </c>
      <c r="Y20" s="27">
        <f t="shared" si="1"/>
        <v>0</v>
      </c>
      <c r="AA20" s="18"/>
      <c r="AB20" s="18"/>
      <c r="AC20" s="27">
        <v>0</v>
      </c>
      <c r="AD20" s="27">
        <f>AA20*AC20</f>
        <v>0</v>
      </c>
      <c r="AG20" s="18" t="s">
        <v>54</v>
      </c>
      <c r="AH20" s="27">
        <f>AD32</f>
        <v>0</v>
      </c>
      <c r="AI20" s="18"/>
      <c r="AL20" s="37" t="s">
        <v>52</v>
      </c>
      <c r="AM20" s="38">
        <f>AH19+AH47+AH74+AH101+AH128+AH155+AH182+AH209</f>
        <v>0</v>
      </c>
      <c r="AN20" s="39">
        <f>AM20/AM14</f>
        <v>0</v>
      </c>
      <c r="AQ20" s="40" t="s">
        <v>55</v>
      </c>
      <c r="AR20" s="41">
        <f>AB149</f>
        <v>4305</v>
      </c>
      <c r="AS20" s="42">
        <f>AC149</f>
        <v>3657</v>
      </c>
      <c r="AT20" s="41">
        <f t="shared" si="3"/>
        <v>7962</v>
      </c>
    </row>
    <row r="21" spans="3:48" x14ac:dyDescent="0.25">
      <c r="C21" s="26"/>
      <c r="D21" s="18"/>
      <c r="E21" s="27">
        <v>0</v>
      </c>
      <c r="F21" s="27">
        <v>0</v>
      </c>
      <c r="G21" s="27" t="e">
        <f t="shared" si="4"/>
        <v>#DIV/0!</v>
      </c>
      <c r="I21" s="18"/>
      <c r="J21" s="18"/>
      <c r="K21" s="27">
        <v>0</v>
      </c>
      <c r="L21" s="26"/>
      <c r="M21" s="27" t="e">
        <f t="shared" si="2"/>
        <v>#DIV/0!</v>
      </c>
      <c r="P21" s="26"/>
      <c r="Q21" s="18"/>
      <c r="R21" s="27">
        <v>0</v>
      </c>
      <c r="S21" s="27">
        <f t="shared" si="0"/>
        <v>0</v>
      </c>
      <c r="U21" s="18"/>
      <c r="V21" s="18"/>
      <c r="W21" s="18"/>
      <c r="X21" s="27">
        <v>0</v>
      </c>
      <c r="Y21" s="27">
        <f t="shared" si="1"/>
        <v>0</v>
      </c>
      <c r="AA21" s="18"/>
      <c r="AB21" s="18"/>
      <c r="AC21" s="27">
        <v>0</v>
      </c>
      <c r="AD21" s="27">
        <f>AA21*AC21</f>
        <v>0</v>
      </c>
      <c r="AG21" s="21" t="s">
        <v>56</v>
      </c>
      <c r="AH21" s="27">
        <v>60</v>
      </c>
      <c r="AI21" s="18"/>
      <c r="AL21" s="37" t="s">
        <v>54</v>
      </c>
      <c r="AM21" s="38">
        <f>AH20+AH48+AH75+AH102+AH129++AH156+AH183+AH210</f>
        <v>0</v>
      </c>
      <c r="AN21" s="39">
        <f>AM21/AM14</f>
        <v>0</v>
      </c>
      <c r="AQ21" s="40" t="s">
        <v>57</v>
      </c>
      <c r="AR21" s="41">
        <f>AB176</f>
        <v>4305</v>
      </c>
      <c r="AS21" s="42">
        <f>AC176</f>
        <v>3596</v>
      </c>
      <c r="AT21" s="41">
        <f t="shared" si="3"/>
        <v>7901</v>
      </c>
    </row>
    <row r="22" spans="3:48" x14ac:dyDescent="0.25">
      <c r="C22" s="26"/>
      <c r="D22" s="18"/>
      <c r="E22" s="27">
        <v>0</v>
      </c>
      <c r="F22" s="27">
        <v>0</v>
      </c>
      <c r="G22" s="27" t="e">
        <f t="shared" si="4"/>
        <v>#DIV/0!</v>
      </c>
      <c r="I22" s="18"/>
      <c r="J22" s="18"/>
      <c r="K22" s="27">
        <v>0</v>
      </c>
      <c r="L22" s="26"/>
      <c r="M22" s="27" t="e">
        <f t="shared" si="2"/>
        <v>#DIV/0!</v>
      </c>
      <c r="P22" s="18"/>
      <c r="Q22" s="18"/>
      <c r="R22" s="27">
        <v>0</v>
      </c>
      <c r="S22" s="27">
        <f t="shared" si="0"/>
        <v>0</v>
      </c>
      <c r="U22" s="18"/>
      <c r="V22" s="18"/>
      <c r="W22" s="18"/>
      <c r="X22" s="27">
        <v>0</v>
      </c>
      <c r="Y22" s="27">
        <f t="shared" si="1"/>
        <v>0</v>
      </c>
      <c r="AA22" s="18"/>
      <c r="AB22" s="18"/>
      <c r="AC22" s="27">
        <v>0</v>
      </c>
      <c r="AD22" s="27">
        <f>AA22*AC22</f>
        <v>0</v>
      </c>
      <c r="AG22" s="18" t="s">
        <v>58</v>
      </c>
      <c r="AH22" s="27">
        <v>0</v>
      </c>
      <c r="AI22" s="18"/>
      <c r="AL22" s="37" t="s">
        <v>56</v>
      </c>
      <c r="AM22" s="38">
        <f>AH21+AH49+AH76+AH103+AH130+AH157+AH184+AH211</f>
        <v>330</v>
      </c>
      <c r="AN22" s="39">
        <f>AM22/AM14</f>
        <v>7.1440942154485628E-3</v>
      </c>
      <c r="AQ22" s="43" t="s">
        <v>59</v>
      </c>
      <c r="AR22" s="44"/>
      <c r="AS22" s="44"/>
      <c r="AT22" s="45">
        <f>AT15+AT16+AT17+AT18+AT19+AT20+AT21</f>
        <v>46192</v>
      </c>
    </row>
    <row r="23" spans="3:48" x14ac:dyDescent="0.25">
      <c r="C23" s="26"/>
      <c r="D23" s="18"/>
      <c r="E23" s="27">
        <v>0</v>
      </c>
      <c r="F23" s="27">
        <v>0</v>
      </c>
      <c r="G23" s="27" t="e">
        <f t="shared" si="4"/>
        <v>#DIV/0!</v>
      </c>
      <c r="I23" s="18"/>
      <c r="J23" s="18"/>
      <c r="K23" s="27">
        <v>0</v>
      </c>
      <c r="L23" s="26"/>
      <c r="M23" s="27" t="e">
        <f t="shared" si="2"/>
        <v>#DIV/0!</v>
      </c>
      <c r="P23" s="18"/>
      <c r="Q23" s="18"/>
      <c r="R23" s="27">
        <v>0</v>
      </c>
      <c r="S23" s="27">
        <f t="shared" si="0"/>
        <v>0</v>
      </c>
      <c r="U23" s="18"/>
      <c r="V23" s="18"/>
      <c r="W23" s="18"/>
      <c r="X23" s="27">
        <v>0</v>
      </c>
      <c r="Y23" s="27">
        <f t="shared" si="1"/>
        <v>0</v>
      </c>
      <c r="AA23" s="18" t="s">
        <v>59</v>
      </c>
      <c r="AB23" s="18"/>
      <c r="AC23" s="27"/>
      <c r="AD23" s="19">
        <f>SUM(AD17:AD22)</f>
        <v>0</v>
      </c>
      <c r="AG23" s="21" t="s">
        <v>60</v>
      </c>
      <c r="AH23" s="27">
        <v>0</v>
      </c>
      <c r="AI23" s="18"/>
      <c r="AL23" s="37" t="s">
        <v>58</v>
      </c>
      <c r="AM23" s="38">
        <f>AH22+AH50+AH77+AH104+AH131+AH158+AH185+AH212</f>
        <v>208</v>
      </c>
      <c r="AN23" s="39">
        <f>AM23/AM14</f>
        <v>4.5029442327675787E-3</v>
      </c>
    </row>
    <row r="24" spans="3:48" x14ac:dyDescent="0.25">
      <c r="C24" s="26"/>
      <c r="D24" s="18"/>
      <c r="E24" s="27">
        <v>0</v>
      </c>
      <c r="F24" s="27">
        <v>0</v>
      </c>
      <c r="G24" s="27" t="e">
        <f t="shared" si="4"/>
        <v>#DIV/0!</v>
      </c>
      <c r="I24" s="18"/>
      <c r="J24" s="18"/>
      <c r="K24" s="27">
        <v>0</v>
      </c>
      <c r="L24" s="26"/>
      <c r="M24" s="27" t="e">
        <f t="shared" si="2"/>
        <v>#DIV/0!</v>
      </c>
      <c r="P24" s="18"/>
      <c r="Q24" s="18"/>
      <c r="R24" s="27">
        <v>0</v>
      </c>
      <c r="S24" s="27">
        <f t="shared" si="0"/>
        <v>0</v>
      </c>
      <c r="U24" s="18"/>
      <c r="V24" s="18"/>
      <c r="W24" s="18"/>
      <c r="X24" s="27">
        <v>0</v>
      </c>
      <c r="Y24" s="27">
        <f t="shared" si="1"/>
        <v>0</v>
      </c>
      <c r="AA24" s="46"/>
      <c r="AB24" s="46"/>
      <c r="AC24" s="47"/>
      <c r="AD24" s="47"/>
      <c r="AG24" s="18" t="s">
        <v>61</v>
      </c>
      <c r="AH24" s="27">
        <v>0</v>
      </c>
      <c r="AI24" s="18"/>
      <c r="AL24" s="37" t="s">
        <v>60</v>
      </c>
      <c r="AM24" s="38">
        <f>AH23+AH51+AH78+AH105+AH132++AH159+AH186+AH213</f>
        <v>794</v>
      </c>
      <c r="AN24" s="39">
        <f>AM24/AM14</f>
        <v>1.7189123657776237E-2</v>
      </c>
    </row>
    <row r="25" spans="3:48" x14ac:dyDescent="0.25">
      <c r="C25" s="26"/>
      <c r="D25" s="18"/>
      <c r="E25" s="27">
        <v>0</v>
      </c>
      <c r="F25" s="27">
        <v>0</v>
      </c>
      <c r="G25" s="27" t="e">
        <f t="shared" si="4"/>
        <v>#DIV/0!</v>
      </c>
      <c r="I25" s="18"/>
      <c r="J25" s="18"/>
      <c r="K25" s="27">
        <v>0</v>
      </c>
      <c r="L25" s="26"/>
      <c r="M25" s="27" t="e">
        <f t="shared" si="2"/>
        <v>#DIV/0!</v>
      </c>
      <c r="P25" s="18"/>
      <c r="Q25" s="18"/>
      <c r="R25" s="27">
        <v>0</v>
      </c>
      <c r="S25" s="27">
        <f t="shared" si="0"/>
        <v>0</v>
      </c>
      <c r="U25" s="18"/>
      <c r="V25" s="18"/>
      <c r="W25" s="18"/>
      <c r="X25" s="27">
        <v>0</v>
      </c>
      <c r="Y25" s="27">
        <f t="shared" si="1"/>
        <v>0</v>
      </c>
      <c r="AA25" s="46"/>
      <c r="AB25" s="46"/>
      <c r="AC25" s="47"/>
      <c r="AD25" s="47"/>
      <c r="AG25" s="21" t="s">
        <v>62</v>
      </c>
      <c r="AH25" s="27">
        <v>0</v>
      </c>
      <c r="AI25" s="18"/>
      <c r="AL25" s="37" t="s">
        <v>61</v>
      </c>
      <c r="AM25" s="38">
        <f>AH24+AH52+AH79+AH106+AH133+AH160+AH187+AH214</f>
        <v>93</v>
      </c>
      <c r="AN25" s="39">
        <f>AM25/AM14</f>
        <v>2.0133356425355042E-3</v>
      </c>
      <c r="AQ25" t="s">
        <v>63</v>
      </c>
      <c r="AT25" t="s">
        <v>211</v>
      </c>
    </row>
    <row r="26" spans="3:48" x14ac:dyDescent="0.25">
      <c r="C26" s="26"/>
      <c r="D26" s="18"/>
      <c r="E26" s="27">
        <f t="shared" ref="E26:E31" si="5">SUM(X26:Z26)</f>
        <v>0</v>
      </c>
      <c r="F26" s="27">
        <v>0</v>
      </c>
      <c r="G26" s="27" t="e">
        <f t="shared" si="4"/>
        <v>#DIV/0!</v>
      </c>
      <c r="I26" s="18"/>
      <c r="J26" s="18"/>
      <c r="K26" s="27">
        <v>0</v>
      </c>
      <c r="L26" s="26"/>
      <c r="M26" s="27" t="e">
        <f t="shared" si="2"/>
        <v>#DIV/0!</v>
      </c>
      <c r="P26" s="18"/>
      <c r="Q26" s="18"/>
      <c r="R26" s="27">
        <v>0</v>
      </c>
      <c r="S26" s="27">
        <f t="shared" si="0"/>
        <v>0</v>
      </c>
      <c r="U26" s="18"/>
      <c r="V26" s="18"/>
      <c r="W26" s="18"/>
      <c r="X26" s="27">
        <v>0</v>
      </c>
      <c r="Y26" s="27">
        <f t="shared" si="1"/>
        <v>0</v>
      </c>
      <c r="AA26" s="48" t="s">
        <v>64</v>
      </c>
      <c r="AB26" s="49"/>
      <c r="AC26" s="49"/>
      <c r="AG26" s="18" t="s">
        <v>65</v>
      </c>
      <c r="AH26" s="27">
        <v>0</v>
      </c>
      <c r="AI26" s="18"/>
      <c r="AL26" s="37" t="s">
        <v>62</v>
      </c>
      <c r="AM26" s="38">
        <f>AH25+AH53+AH80+AH107+AH134+AH161+AH188+AH215</f>
        <v>0</v>
      </c>
      <c r="AN26" s="39">
        <f>AM26/AM14</f>
        <v>0</v>
      </c>
      <c r="AQ26" s="37" t="s">
        <v>9</v>
      </c>
      <c r="AR26" s="38">
        <f>AM15</f>
        <v>1100</v>
      </c>
      <c r="AT26" s="2" t="s">
        <v>63</v>
      </c>
      <c r="AU26" s="50" t="s">
        <v>66</v>
      </c>
      <c r="AV26" s="51" t="s">
        <v>59</v>
      </c>
    </row>
    <row r="27" spans="3:48" x14ac:dyDescent="0.25">
      <c r="C27" s="26"/>
      <c r="D27" s="18"/>
      <c r="E27" s="27">
        <f t="shared" si="5"/>
        <v>0</v>
      </c>
      <c r="F27" s="27">
        <v>0</v>
      </c>
      <c r="G27" s="27" t="e">
        <f t="shared" si="4"/>
        <v>#DIV/0!</v>
      </c>
      <c r="I27" s="18"/>
      <c r="J27" s="18"/>
      <c r="K27" s="27">
        <v>0</v>
      </c>
      <c r="L27" s="26"/>
      <c r="M27" s="27" t="e">
        <f t="shared" si="2"/>
        <v>#DIV/0!</v>
      </c>
      <c r="P27" s="18"/>
      <c r="Q27" s="18"/>
      <c r="R27" s="27">
        <v>0</v>
      </c>
      <c r="S27" s="27">
        <f t="shared" si="0"/>
        <v>0</v>
      </c>
      <c r="U27" s="18"/>
      <c r="V27" s="18"/>
      <c r="W27" s="18"/>
      <c r="X27" s="27">
        <v>0</v>
      </c>
      <c r="Y27" s="27">
        <f t="shared" si="1"/>
        <v>0</v>
      </c>
      <c r="AA27" s="18" t="s">
        <v>24</v>
      </c>
      <c r="AB27" s="18" t="s">
        <v>25</v>
      </c>
      <c r="AC27" s="18" t="s">
        <v>26</v>
      </c>
      <c r="AD27" s="18" t="s">
        <v>27</v>
      </c>
      <c r="AG27" s="21" t="s">
        <v>67</v>
      </c>
      <c r="AH27" s="27">
        <v>0</v>
      </c>
      <c r="AI27" s="18"/>
      <c r="AL27" s="37" t="s">
        <v>65</v>
      </c>
      <c r="AM27" s="38">
        <f>AH54+AH26+AH81+AH108+AH135+AH162+AH189+AH216</f>
        <v>0</v>
      </c>
      <c r="AN27" s="39">
        <f>AM27/AM14</f>
        <v>0</v>
      </c>
      <c r="AQ27" s="37" t="s">
        <v>10</v>
      </c>
      <c r="AR27" s="38">
        <f>AM16</f>
        <v>314</v>
      </c>
      <c r="AT27" s="52">
        <f>AT22</f>
        <v>46192</v>
      </c>
      <c r="AU27" s="53">
        <v>15392.5</v>
      </c>
      <c r="AV27" s="54">
        <f>AT27+AU27</f>
        <v>61584.5</v>
      </c>
    </row>
    <row r="28" spans="3:48" x14ac:dyDescent="0.25">
      <c r="C28" s="26"/>
      <c r="D28" s="18"/>
      <c r="E28" s="27">
        <f t="shared" si="5"/>
        <v>0</v>
      </c>
      <c r="F28" s="27">
        <v>0</v>
      </c>
      <c r="G28" s="27" t="e">
        <f t="shared" si="4"/>
        <v>#DIV/0!</v>
      </c>
      <c r="I28" s="18"/>
      <c r="J28" s="18"/>
      <c r="K28" s="27">
        <v>0</v>
      </c>
      <c r="L28" s="26"/>
      <c r="M28" s="27" t="e">
        <f t="shared" si="2"/>
        <v>#DIV/0!</v>
      </c>
      <c r="P28" s="18"/>
      <c r="Q28" s="18"/>
      <c r="R28" s="27">
        <v>0</v>
      </c>
      <c r="S28" s="27">
        <f t="shared" si="0"/>
        <v>0</v>
      </c>
      <c r="U28" s="18"/>
      <c r="V28" s="18"/>
      <c r="W28" s="18"/>
      <c r="X28" s="27">
        <v>0</v>
      </c>
      <c r="Y28" s="27">
        <f t="shared" si="1"/>
        <v>0</v>
      </c>
      <c r="AA28" s="18"/>
      <c r="AB28" s="18"/>
      <c r="AC28" s="27">
        <v>0</v>
      </c>
      <c r="AD28" s="27">
        <f>AA28*AC28</f>
        <v>0</v>
      </c>
      <c r="AG28" s="18" t="s">
        <v>68</v>
      </c>
      <c r="AH28" s="27">
        <v>0</v>
      </c>
      <c r="AI28" s="18"/>
      <c r="AL28" s="37" t="s">
        <v>67</v>
      </c>
      <c r="AM28" s="38">
        <f>AH27+AH55+AH82+AH109+AH136+AH163+AH190+AH217</f>
        <v>0</v>
      </c>
      <c r="AN28" s="39">
        <f>AM28/AM14</f>
        <v>0</v>
      </c>
    </row>
    <row r="29" spans="3:48" x14ac:dyDescent="0.25">
      <c r="C29" s="26"/>
      <c r="D29" s="18"/>
      <c r="E29" s="27">
        <f t="shared" si="5"/>
        <v>0</v>
      </c>
      <c r="F29" s="27">
        <v>0</v>
      </c>
      <c r="G29" s="27" t="e">
        <f t="shared" si="4"/>
        <v>#DIV/0!</v>
      </c>
      <c r="I29" s="18"/>
      <c r="J29" s="18"/>
      <c r="K29" s="27">
        <v>0</v>
      </c>
      <c r="L29" s="26"/>
      <c r="M29" s="27" t="e">
        <f t="shared" si="2"/>
        <v>#DIV/0!</v>
      </c>
      <c r="P29" s="18"/>
      <c r="Q29" s="18"/>
      <c r="R29" s="27">
        <v>0</v>
      </c>
      <c r="S29" s="27">
        <f t="shared" si="0"/>
        <v>0</v>
      </c>
      <c r="U29" s="18"/>
      <c r="V29" s="18"/>
      <c r="W29" s="18"/>
      <c r="X29" s="27">
        <v>0</v>
      </c>
      <c r="Y29" s="27">
        <f t="shared" si="1"/>
        <v>0</v>
      </c>
      <c r="AA29" s="18"/>
      <c r="AB29" s="18"/>
      <c r="AC29" s="27">
        <v>0</v>
      </c>
      <c r="AD29" s="27">
        <f>AA29*AC29</f>
        <v>0</v>
      </c>
      <c r="AG29" s="21" t="s">
        <v>69</v>
      </c>
      <c r="AH29" s="55">
        <v>0</v>
      </c>
      <c r="AI29" s="18"/>
      <c r="AL29" s="37" t="s">
        <v>68</v>
      </c>
      <c r="AM29" s="38">
        <f>AH28+AH56+AH83+AH110+AH137++AH164+AH191+AH218</f>
        <v>0</v>
      </c>
      <c r="AN29" s="39">
        <f>AM29/AM14</f>
        <v>0</v>
      </c>
    </row>
    <row r="30" spans="3:48" x14ac:dyDescent="0.25">
      <c r="C30" s="26"/>
      <c r="D30" s="18"/>
      <c r="E30" s="27">
        <f t="shared" si="5"/>
        <v>0</v>
      </c>
      <c r="F30" s="27">
        <v>0</v>
      </c>
      <c r="G30" s="27" t="e">
        <f t="shared" si="4"/>
        <v>#DIV/0!</v>
      </c>
      <c r="I30" s="18"/>
      <c r="J30" s="18"/>
      <c r="K30" s="27">
        <v>0</v>
      </c>
      <c r="L30" s="26"/>
      <c r="M30" s="27" t="e">
        <f t="shared" si="2"/>
        <v>#DIV/0!</v>
      </c>
      <c r="P30" s="18"/>
      <c r="Q30" s="18"/>
      <c r="R30" s="27">
        <v>0</v>
      </c>
      <c r="S30" s="27">
        <f t="shared" si="0"/>
        <v>0</v>
      </c>
      <c r="U30" s="18"/>
      <c r="V30" s="18"/>
      <c r="W30" s="18"/>
      <c r="X30" s="27">
        <v>0</v>
      </c>
      <c r="Y30" s="27">
        <f t="shared" si="1"/>
        <v>0</v>
      </c>
      <c r="AA30" s="18"/>
      <c r="AB30" s="18"/>
      <c r="AC30" s="27">
        <v>0</v>
      </c>
      <c r="AD30" s="27">
        <f>AA30*AC30</f>
        <v>0</v>
      </c>
      <c r="AG30" s="56" t="s">
        <v>70</v>
      </c>
      <c r="AH30" s="55">
        <v>0</v>
      </c>
      <c r="AI30" s="18"/>
      <c r="AL30" s="37" t="s">
        <v>69</v>
      </c>
      <c r="AM30" s="38">
        <f>AH29+AH57+AH84+AH111+AH138+AH165+AH192+AH219</f>
        <v>50</v>
      </c>
      <c r="AN30" s="39">
        <f>AM30/AM14</f>
        <v>1.0824385174922064E-3</v>
      </c>
    </row>
    <row r="31" spans="3:48" x14ac:dyDescent="0.25">
      <c r="C31" s="26"/>
      <c r="D31" s="18"/>
      <c r="E31" s="27">
        <f t="shared" si="5"/>
        <v>0</v>
      </c>
      <c r="F31" s="27">
        <v>0</v>
      </c>
      <c r="G31" s="27" t="e">
        <f t="shared" si="4"/>
        <v>#DIV/0!</v>
      </c>
      <c r="I31" s="18"/>
      <c r="J31" s="18"/>
      <c r="K31" s="27">
        <v>0</v>
      </c>
      <c r="L31" s="26"/>
      <c r="M31" s="27" t="e">
        <f t="shared" si="2"/>
        <v>#DIV/0!</v>
      </c>
      <c r="P31" s="18"/>
      <c r="Q31" s="18"/>
      <c r="R31" s="27">
        <v>0</v>
      </c>
      <c r="S31" s="27">
        <f t="shared" si="0"/>
        <v>0</v>
      </c>
      <c r="U31" s="18"/>
      <c r="V31" s="18"/>
      <c r="W31" s="18"/>
      <c r="X31" s="27">
        <v>0</v>
      </c>
      <c r="Y31" s="27">
        <f t="shared" si="1"/>
        <v>0</v>
      </c>
      <c r="AA31" s="18"/>
      <c r="AB31" s="18"/>
      <c r="AC31" s="27">
        <v>0</v>
      </c>
      <c r="AD31" s="27">
        <f>AA31*AC31</f>
        <v>0</v>
      </c>
      <c r="AG31" s="21" t="s">
        <v>71</v>
      </c>
      <c r="AH31" s="27">
        <v>0</v>
      </c>
      <c r="AI31" s="18"/>
      <c r="AL31" s="37" t="s">
        <v>70</v>
      </c>
      <c r="AM31" s="38">
        <f>AH30+AH58+AH85+AH112+AH139+AH166+AH193+AH220</f>
        <v>0</v>
      </c>
      <c r="AN31" s="39">
        <f>AM31/AM14</f>
        <v>0</v>
      </c>
      <c r="AQ31" s="37" t="s">
        <v>42</v>
      </c>
      <c r="AR31" s="38">
        <f>AM17+AM18</f>
        <v>21888.48</v>
      </c>
    </row>
    <row r="32" spans="3:48" x14ac:dyDescent="0.25">
      <c r="C32" s="18" t="s">
        <v>59</v>
      </c>
      <c r="D32" s="18"/>
      <c r="E32" s="57">
        <f>SUM(E14:E31)</f>
        <v>2209</v>
      </c>
      <c r="F32" s="18"/>
      <c r="G32" s="18"/>
      <c r="I32" s="18" t="s">
        <v>59</v>
      </c>
      <c r="J32" s="18"/>
      <c r="K32" s="22">
        <f>SUM(K14:K31)</f>
        <v>83</v>
      </c>
      <c r="L32" s="26"/>
      <c r="M32" s="18"/>
      <c r="P32" s="83" t="s">
        <v>27</v>
      </c>
      <c r="Q32" s="84"/>
      <c r="R32" s="85"/>
      <c r="S32" s="58">
        <f>SUM(S14:S31)</f>
        <v>125</v>
      </c>
      <c r="U32" s="83" t="s">
        <v>27</v>
      </c>
      <c r="V32" s="84"/>
      <c r="W32" s="84"/>
      <c r="X32" s="85"/>
      <c r="Y32" s="58">
        <f>SUM(Y14:Y31)</f>
        <v>96</v>
      </c>
      <c r="AA32" s="18"/>
      <c r="AB32" s="18"/>
      <c r="AC32" s="27">
        <v>0</v>
      </c>
      <c r="AD32" s="27">
        <f>SUM(AD28:AD31)</f>
        <v>0</v>
      </c>
      <c r="AG32" s="18" t="s">
        <v>72</v>
      </c>
      <c r="AH32" s="27">
        <v>0</v>
      </c>
      <c r="AI32" s="18"/>
      <c r="AL32" s="59" t="s">
        <v>71</v>
      </c>
      <c r="AM32" s="38">
        <f>AH31+AH59+AH86+AH113+AH140+AH167+AH194+AH221</f>
        <v>124</v>
      </c>
      <c r="AN32" s="39">
        <f>AM32/AM14</f>
        <v>2.6844475233806721E-3</v>
      </c>
    </row>
    <row r="33" spans="3:40" x14ac:dyDescent="0.25">
      <c r="AG33" s="60" t="s">
        <v>73</v>
      </c>
      <c r="AH33" s="61">
        <f>AH13-AH14-AH15-AH16-AH17-AH18-AH19-AH20-AH21-AH22-AH23-AH24-AH25-AH26-AH27-AH28-AH29-AH30-AH31-AH32</f>
        <v>3303.5</v>
      </c>
      <c r="AI33" s="60"/>
      <c r="AL33" s="37" t="s">
        <v>72</v>
      </c>
      <c r="AM33" s="38">
        <f>AH32+AH60+AH87+AH114+AH141+AH168+AH195+AH222</f>
        <v>0</v>
      </c>
      <c r="AN33" s="39">
        <f>AM33/AM14</f>
        <v>0</v>
      </c>
    </row>
    <row r="34" spans="3:40" x14ac:dyDescent="0.25">
      <c r="AG34" s="62"/>
      <c r="AH34" s="63"/>
      <c r="AI34" s="62"/>
      <c r="AL34" s="37"/>
      <c r="AM34" s="38">
        <v>0</v>
      </c>
      <c r="AN34" s="39">
        <f>AM34/AM14</f>
        <v>0</v>
      </c>
    </row>
    <row r="35" spans="3:40" x14ac:dyDescent="0.25">
      <c r="AL35" s="16" t="s">
        <v>74</v>
      </c>
      <c r="AM35" s="64">
        <f>SUM(AM15:AM33)</f>
        <v>26441.48</v>
      </c>
    </row>
    <row r="38" spans="3:40" x14ac:dyDescent="0.25">
      <c r="C38" t="s">
        <v>75</v>
      </c>
      <c r="AA38" t="str">
        <f>C38</f>
        <v>FECHA:MARTES 7 DE ABRIL</v>
      </c>
    </row>
    <row r="39" spans="3:40" x14ac:dyDescent="0.25">
      <c r="C39" s="43" t="s">
        <v>76</v>
      </c>
      <c r="D39" s="65"/>
      <c r="P39" s="18" t="str">
        <f>C38</f>
        <v>FECHA:MARTES 7 DE ABRIL</v>
      </c>
      <c r="U39" s="18" t="str">
        <f>P39</f>
        <v>FECHA:MARTES 7 DE ABRIL</v>
      </c>
      <c r="AA39" s="24" t="s">
        <v>3</v>
      </c>
      <c r="AB39" s="25"/>
      <c r="AG39" s="66" t="str">
        <f>AA38</f>
        <v>FECHA:MARTES 7 DE ABRIL</v>
      </c>
    </row>
    <row r="40" spans="3:40" x14ac:dyDescent="0.25">
      <c r="C40" s="74" t="s">
        <v>7</v>
      </c>
      <c r="D40" s="75"/>
      <c r="E40" s="75"/>
      <c r="F40" s="75"/>
      <c r="G40" s="76"/>
      <c r="I40" s="77" t="s">
        <v>8</v>
      </c>
      <c r="J40" s="78"/>
      <c r="K40" s="78"/>
      <c r="L40" s="78"/>
      <c r="M40" s="79"/>
      <c r="P40" s="74" t="s">
        <v>9</v>
      </c>
      <c r="Q40" s="75"/>
      <c r="R40" s="75"/>
      <c r="S40" s="76"/>
      <c r="U40" s="80" t="s">
        <v>77</v>
      </c>
      <c r="V40" s="81"/>
      <c r="W40" s="81"/>
      <c r="X40" s="81"/>
      <c r="Y40" s="82"/>
      <c r="AA40" s="10" t="s">
        <v>11</v>
      </c>
      <c r="AB40" s="11" t="s">
        <v>12</v>
      </c>
      <c r="AC40" s="12" t="s">
        <v>13</v>
      </c>
      <c r="AD40" s="13" t="s">
        <v>14</v>
      </c>
      <c r="AG40" s="14" t="s">
        <v>15</v>
      </c>
      <c r="AH40" s="15" t="s">
        <v>16</v>
      </c>
      <c r="AI40" s="16" t="s">
        <v>17</v>
      </c>
    </row>
    <row r="41" spans="3:40" x14ac:dyDescent="0.25">
      <c r="C41" s="18" t="s">
        <v>19</v>
      </c>
      <c r="D41" s="18" t="s">
        <v>20</v>
      </c>
      <c r="E41" s="18" t="s">
        <v>21</v>
      </c>
      <c r="F41" s="18" t="s">
        <v>22</v>
      </c>
      <c r="G41" s="18" t="s">
        <v>23</v>
      </c>
      <c r="I41" s="18" t="s">
        <v>19</v>
      </c>
      <c r="J41" s="18" t="s">
        <v>20</v>
      </c>
      <c r="K41" s="18" t="s">
        <v>21</v>
      </c>
      <c r="L41" s="18" t="s">
        <v>22</v>
      </c>
      <c r="M41" s="18" t="s">
        <v>23</v>
      </c>
      <c r="P41" s="18" t="s">
        <v>24</v>
      </c>
      <c r="Q41" s="18" t="s">
        <v>25</v>
      </c>
      <c r="R41" s="18" t="s">
        <v>26</v>
      </c>
      <c r="S41" s="18" t="s">
        <v>27</v>
      </c>
      <c r="U41" s="18" t="s">
        <v>24</v>
      </c>
      <c r="V41" s="18" t="s">
        <v>25</v>
      </c>
      <c r="W41" s="18"/>
      <c r="X41" s="18" t="s">
        <v>26</v>
      </c>
      <c r="Y41" s="18" t="s">
        <v>27</v>
      </c>
      <c r="AA41" s="13" t="s">
        <v>43</v>
      </c>
      <c r="AB41" s="19">
        <v>2703</v>
      </c>
      <c r="AC41" s="20">
        <v>3350</v>
      </c>
      <c r="AD41" s="19">
        <f>AB41+AC41</f>
        <v>6053</v>
      </c>
      <c r="AG41" s="21" t="s">
        <v>29</v>
      </c>
      <c r="AH41" s="22">
        <f>AD41</f>
        <v>6053</v>
      </c>
      <c r="AI41" s="18"/>
    </row>
    <row r="42" spans="3:40" x14ac:dyDescent="0.25">
      <c r="C42" s="26">
        <v>13</v>
      </c>
      <c r="D42" s="18" t="s">
        <v>78</v>
      </c>
      <c r="E42" s="27">
        <v>5590</v>
      </c>
      <c r="F42" s="27">
        <v>13</v>
      </c>
      <c r="G42" s="27">
        <f>E42/F42</f>
        <v>430</v>
      </c>
      <c r="I42" s="18"/>
      <c r="J42" s="18"/>
      <c r="K42" s="27">
        <v>0</v>
      </c>
      <c r="L42" s="28"/>
      <c r="M42" s="27" t="e">
        <f>K42/L42</f>
        <v>#DIV/0!</v>
      </c>
      <c r="P42" s="18">
        <v>6</v>
      </c>
      <c r="Q42" s="18" t="s">
        <v>79</v>
      </c>
      <c r="R42" s="27">
        <v>3.5</v>
      </c>
      <c r="S42" s="27">
        <f t="shared" ref="S42:S59" si="6">P42*R42</f>
        <v>21</v>
      </c>
      <c r="U42" s="18">
        <v>1</v>
      </c>
      <c r="V42" s="18" t="s">
        <v>80</v>
      </c>
      <c r="W42" s="18"/>
      <c r="X42" s="27">
        <v>23</v>
      </c>
      <c r="Y42" s="27">
        <f t="shared" ref="Y42:Y59" si="7">U42*X42</f>
        <v>23</v>
      </c>
      <c r="AG42" s="18" t="s">
        <v>9</v>
      </c>
      <c r="AH42" s="22">
        <v>0</v>
      </c>
      <c r="AI42" s="18"/>
    </row>
    <row r="43" spans="3:40" x14ac:dyDescent="0.25">
      <c r="C43" s="26">
        <v>1</v>
      </c>
      <c r="D43" s="18" t="s">
        <v>81</v>
      </c>
      <c r="E43" s="27">
        <v>850</v>
      </c>
      <c r="F43" s="27">
        <v>1</v>
      </c>
      <c r="G43" s="27">
        <f>E43/F43</f>
        <v>850</v>
      </c>
      <c r="I43" s="18"/>
      <c r="J43" s="18"/>
      <c r="K43" s="27">
        <v>0</v>
      </c>
      <c r="L43" s="28"/>
      <c r="M43" s="27" t="e">
        <f t="shared" ref="M43:M59" si="8">K43/L43</f>
        <v>#DIV/0!</v>
      </c>
      <c r="P43" s="18">
        <v>1</v>
      </c>
      <c r="Q43" s="18" t="s">
        <v>82</v>
      </c>
      <c r="R43" s="27">
        <v>4</v>
      </c>
      <c r="S43" s="27">
        <f t="shared" si="6"/>
        <v>4</v>
      </c>
      <c r="U43" s="18">
        <v>1</v>
      </c>
      <c r="V43" s="18" t="s">
        <v>83</v>
      </c>
      <c r="W43" s="18"/>
      <c r="X43" s="27">
        <v>14</v>
      </c>
      <c r="Y43" s="27">
        <f t="shared" si="7"/>
        <v>14</v>
      </c>
      <c r="AA43" s="35" t="s">
        <v>38</v>
      </c>
      <c r="AB43" s="36"/>
      <c r="AG43" s="21" t="s">
        <v>10</v>
      </c>
      <c r="AH43" s="22">
        <v>0</v>
      </c>
      <c r="AI43" s="18"/>
    </row>
    <row r="44" spans="3:40" x14ac:dyDescent="0.25">
      <c r="C44" s="26">
        <v>2</v>
      </c>
      <c r="D44" s="18" t="s">
        <v>84</v>
      </c>
      <c r="E44" s="27">
        <v>1313</v>
      </c>
      <c r="F44" s="27">
        <v>2</v>
      </c>
      <c r="G44" s="27">
        <f t="shared" ref="G44:G59" si="9">E44/F44</f>
        <v>656.5</v>
      </c>
      <c r="I44" s="18"/>
      <c r="J44" s="18"/>
      <c r="K44" s="27">
        <v>0</v>
      </c>
      <c r="L44" s="26"/>
      <c r="M44" s="27" t="e">
        <f t="shared" si="8"/>
        <v>#DIV/0!</v>
      </c>
      <c r="P44" s="18">
        <v>5</v>
      </c>
      <c r="Q44" s="18" t="s">
        <v>85</v>
      </c>
      <c r="R44" s="27">
        <v>15</v>
      </c>
      <c r="S44" s="27">
        <f t="shared" si="6"/>
        <v>75</v>
      </c>
      <c r="U44" s="18">
        <v>1</v>
      </c>
      <c r="V44" s="18" t="s">
        <v>80</v>
      </c>
      <c r="W44" s="18"/>
      <c r="X44" s="27">
        <v>23</v>
      </c>
      <c r="Y44" s="27">
        <f t="shared" si="7"/>
        <v>23</v>
      </c>
      <c r="AA44" s="18" t="s">
        <v>24</v>
      </c>
      <c r="AB44" s="18" t="s">
        <v>25</v>
      </c>
      <c r="AC44" s="18" t="s">
        <v>26</v>
      </c>
      <c r="AD44" s="18" t="s">
        <v>27</v>
      </c>
      <c r="AG44" s="18" t="s">
        <v>42</v>
      </c>
      <c r="AH44" s="22">
        <f>E60</f>
        <v>11133</v>
      </c>
      <c r="AI44" s="18"/>
    </row>
    <row r="45" spans="3:40" x14ac:dyDescent="0.25">
      <c r="C45" s="26">
        <v>1</v>
      </c>
      <c r="D45" s="18" t="s">
        <v>86</v>
      </c>
      <c r="E45" s="27">
        <v>315</v>
      </c>
      <c r="F45" s="27">
        <v>1</v>
      </c>
      <c r="G45" s="27">
        <f t="shared" si="9"/>
        <v>315</v>
      </c>
      <c r="I45" s="18"/>
      <c r="J45" s="18"/>
      <c r="K45" s="27">
        <v>0</v>
      </c>
      <c r="L45" s="26"/>
      <c r="M45" s="27" t="e">
        <f t="shared" si="8"/>
        <v>#DIV/0!</v>
      </c>
      <c r="P45" s="18">
        <v>2</v>
      </c>
      <c r="Q45" s="18" t="s">
        <v>87</v>
      </c>
      <c r="R45" s="27">
        <v>17</v>
      </c>
      <c r="S45" s="27">
        <f t="shared" si="6"/>
        <v>34</v>
      </c>
      <c r="U45" s="18">
        <v>1</v>
      </c>
      <c r="V45" s="18" t="s">
        <v>34</v>
      </c>
      <c r="W45" s="18"/>
      <c r="X45" s="27">
        <v>3.5</v>
      </c>
      <c r="Y45" s="27">
        <f t="shared" si="7"/>
        <v>3.5</v>
      </c>
      <c r="AA45" s="18">
        <v>1</v>
      </c>
      <c r="AB45" s="18" t="s">
        <v>88</v>
      </c>
      <c r="AC45" s="27">
        <v>70</v>
      </c>
      <c r="AD45" s="27">
        <f t="shared" ref="AD45:AD50" si="10">AA45*AC45</f>
        <v>70</v>
      </c>
      <c r="AG45" s="21" t="s">
        <v>46</v>
      </c>
      <c r="AH45" s="22">
        <v>0</v>
      </c>
      <c r="AI45" s="18"/>
    </row>
    <row r="46" spans="3:40" x14ac:dyDescent="0.25">
      <c r="C46" s="26">
        <v>4</v>
      </c>
      <c r="D46" s="18" t="s">
        <v>78</v>
      </c>
      <c r="E46" s="27">
        <v>1720</v>
      </c>
      <c r="F46" s="27">
        <v>4</v>
      </c>
      <c r="G46" s="27">
        <f t="shared" si="9"/>
        <v>430</v>
      </c>
      <c r="I46" s="18"/>
      <c r="J46" s="18"/>
      <c r="K46" s="27">
        <v>0</v>
      </c>
      <c r="L46" s="26"/>
      <c r="M46" s="27" t="e">
        <f t="shared" si="8"/>
        <v>#DIV/0!</v>
      </c>
      <c r="P46" s="18">
        <v>3</v>
      </c>
      <c r="Q46" s="18" t="s">
        <v>89</v>
      </c>
      <c r="R46" s="27">
        <v>20</v>
      </c>
      <c r="S46" s="27">
        <f t="shared" si="6"/>
        <v>60</v>
      </c>
      <c r="U46" s="18">
        <v>1</v>
      </c>
      <c r="V46" s="18" t="s">
        <v>90</v>
      </c>
      <c r="W46" s="18"/>
      <c r="X46" s="27">
        <v>14</v>
      </c>
      <c r="Y46" s="27">
        <f t="shared" si="7"/>
        <v>14</v>
      </c>
      <c r="AA46" s="18"/>
      <c r="AB46" s="18"/>
      <c r="AC46" s="27">
        <v>0</v>
      </c>
      <c r="AD46" s="27">
        <f t="shared" si="10"/>
        <v>0</v>
      </c>
      <c r="AG46" s="18" t="s">
        <v>50</v>
      </c>
      <c r="AH46" s="27">
        <v>840</v>
      </c>
      <c r="AI46" s="18"/>
    </row>
    <row r="47" spans="3:40" x14ac:dyDescent="0.25">
      <c r="C47" s="26">
        <v>1</v>
      </c>
      <c r="D47" s="18" t="s">
        <v>91</v>
      </c>
      <c r="E47" s="27">
        <v>365</v>
      </c>
      <c r="F47" s="27">
        <v>24</v>
      </c>
      <c r="G47" s="27">
        <f t="shared" si="9"/>
        <v>15.208333333333334</v>
      </c>
      <c r="I47" s="18"/>
      <c r="J47" s="18"/>
      <c r="K47" s="27">
        <v>0</v>
      </c>
      <c r="L47" s="26"/>
      <c r="M47" s="27" t="e">
        <f t="shared" si="8"/>
        <v>#DIV/0!</v>
      </c>
      <c r="P47" s="18">
        <v>3</v>
      </c>
      <c r="Q47" s="18" t="s">
        <v>92</v>
      </c>
      <c r="R47" s="27">
        <v>14</v>
      </c>
      <c r="S47" s="27">
        <f t="shared" si="6"/>
        <v>42</v>
      </c>
      <c r="U47" s="18"/>
      <c r="V47" s="18"/>
      <c r="W47" s="18"/>
      <c r="X47" s="27">
        <v>0</v>
      </c>
      <c r="Y47" s="27">
        <f t="shared" si="7"/>
        <v>0</v>
      </c>
      <c r="AA47" s="18"/>
      <c r="AB47" s="18"/>
      <c r="AC47" s="27">
        <v>0</v>
      </c>
      <c r="AD47" s="27">
        <f t="shared" si="10"/>
        <v>0</v>
      </c>
      <c r="AG47" s="21" t="s">
        <v>52</v>
      </c>
      <c r="AH47" s="27">
        <v>0</v>
      </c>
      <c r="AI47" s="18"/>
    </row>
    <row r="48" spans="3:40" x14ac:dyDescent="0.25">
      <c r="C48" s="67"/>
      <c r="D48" s="18" t="s">
        <v>93</v>
      </c>
      <c r="E48" s="27">
        <v>320</v>
      </c>
      <c r="F48" s="27">
        <v>26</v>
      </c>
      <c r="G48" s="27">
        <f t="shared" si="9"/>
        <v>12.307692307692308</v>
      </c>
      <c r="I48" s="18"/>
      <c r="J48" s="18"/>
      <c r="K48" s="27">
        <v>0</v>
      </c>
      <c r="L48" s="26"/>
      <c r="M48" s="27" t="e">
        <f t="shared" si="8"/>
        <v>#DIV/0!</v>
      </c>
      <c r="P48" s="18">
        <v>1</v>
      </c>
      <c r="Q48" s="18" t="s">
        <v>94</v>
      </c>
      <c r="R48" s="27">
        <v>16</v>
      </c>
      <c r="S48" s="27">
        <f t="shared" si="6"/>
        <v>16</v>
      </c>
      <c r="U48" s="18"/>
      <c r="V48" s="18"/>
      <c r="W48" s="18"/>
      <c r="X48" s="27">
        <v>0</v>
      </c>
      <c r="Y48" s="27">
        <f t="shared" si="7"/>
        <v>0</v>
      </c>
      <c r="AA48" s="18"/>
      <c r="AB48" s="18"/>
      <c r="AC48" s="27">
        <v>0</v>
      </c>
      <c r="AD48" s="27">
        <f t="shared" si="10"/>
        <v>0</v>
      </c>
      <c r="AG48" s="18" t="s">
        <v>54</v>
      </c>
      <c r="AH48" s="27">
        <v>0</v>
      </c>
      <c r="AI48" s="18"/>
    </row>
    <row r="49" spans="3:35" x14ac:dyDescent="0.25">
      <c r="C49" s="26">
        <v>1</v>
      </c>
      <c r="D49" s="18" t="s">
        <v>95</v>
      </c>
      <c r="E49" s="27">
        <v>150</v>
      </c>
      <c r="F49" s="27">
        <v>150</v>
      </c>
      <c r="G49" s="27">
        <f t="shared" si="9"/>
        <v>1</v>
      </c>
      <c r="I49" s="18"/>
      <c r="J49" s="18"/>
      <c r="K49" s="27">
        <v>0</v>
      </c>
      <c r="L49" s="26"/>
      <c r="M49" s="27" t="e">
        <f t="shared" si="8"/>
        <v>#DIV/0!</v>
      </c>
      <c r="P49" s="18">
        <v>2</v>
      </c>
      <c r="Q49" s="18" t="s">
        <v>96</v>
      </c>
      <c r="R49" s="27">
        <v>14</v>
      </c>
      <c r="S49" s="27">
        <f t="shared" si="6"/>
        <v>28</v>
      </c>
      <c r="U49" s="18"/>
      <c r="V49" s="18"/>
      <c r="W49" s="18"/>
      <c r="X49" s="27">
        <v>0</v>
      </c>
      <c r="Y49" s="27">
        <f t="shared" si="7"/>
        <v>0</v>
      </c>
      <c r="AA49" s="18"/>
      <c r="AB49" s="18"/>
      <c r="AC49" s="27">
        <v>0</v>
      </c>
      <c r="AD49" s="27">
        <f t="shared" si="10"/>
        <v>0</v>
      </c>
      <c r="AG49" s="21" t="s">
        <v>56</v>
      </c>
      <c r="AH49" s="27">
        <v>45</v>
      </c>
      <c r="AI49" s="18"/>
    </row>
    <row r="50" spans="3:35" x14ac:dyDescent="0.25">
      <c r="C50" s="26">
        <v>1</v>
      </c>
      <c r="D50" s="18" t="s">
        <v>97</v>
      </c>
      <c r="E50" s="27">
        <v>510</v>
      </c>
      <c r="F50" s="27">
        <v>25</v>
      </c>
      <c r="G50" s="27">
        <f t="shared" si="9"/>
        <v>20.399999999999999</v>
      </c>
      <c r="I50" s="18"/>
      <c r="J50" s="18"/>
      <c r="K50" s="27">
        <v>0</v>
      </c>
      <c r="L50" s="26"/>
      <c r="M50" s="27" t="e">
        <f t="shared" si="8"/>
        <v>#DIV/0!</v>
      </c>
      <c r="P50" s="18">
        <v>2</v>
      </c>
      <c r="Q50" s="18" t="s">
        <v>98</v>
      </c>
      <c r="R50" s="27">
        <v>16</v>
      </c>
      <c r="S50" s="27">
        <f t="shared" si="6"/>
        <v>32</v>
      </c>
      <c r="U50" s="18"/>
      <c r="V50" s="18"/>
      <c r="W50" s="18"/>
      <c r="X50" s="27">
        <v>0</v>
      </c>
      <c r="Y50" s="27">
        <f t="shared" si="7"/>
        <v>0</v>
      </c>
      <c r="AA50" s="18"/>
      <c r="AB50" s="18"/>
      <c r="AC50" s="27">
        <v>0</v>
      </c>
      <c r="AD50" s="27">
        <f t="shared" si="10"/>
        <v>0</v>
      </c>
      <c r="AG50" s="18" t="s">
        <v>58</v>
      </c>
      <c r="AH50" s="27">
        <v>0</v>
      </c>
      <c r="AI50" s="18"/>
    </row>
    <row r="51" spans="3:35" x14ac:dyDescent="0.25">
      <c r="C51" s="26"/>
      <c r="D51" s="18"/>
      <c r="E51" s="27">
        <v>0</v>
      </c>
      <c r="F51" s="27">
        <v>0</v>
      </c>
      <c r="G51" s="27" t="e">
        <f t="shared" si="9"/>
        <v>#DIV/0!</v>
      </c>
      <c r="I51" s="18"/>
      <c r="J51" s="18"/>
      <c r="K51" s="27">
        <v>0</v>
      </c>
      <c r="L51" s="26"/>
      <c r="M51" s="27" t="e">
        <f t="shared" si="8"/>
        <v>#DIV/0!</v>
      </c>
      <c r="P51" s="18">
        <v>1</v>
      </c>
      <c r="Q51" s="18" t="s">
        <v>99</v>
      </c>
      <c r="R51" s="27">
        <v>17</v>
      </c>
      <c r="S51" s="27">
        <f t="shared" si="6"/>
        <v>17</v>
      </c>
      <c r="U51" s="18"/>
      <c r="V51" s="18"/>
      <c r="W51" s="18"/>
      <c r="X51" s="27">
        <v>0</v>
      </c>
      <c r="Y51" s="27">
        <f t="shared" si="7"/>
        <v>0</v>
      </c>
      <c r="AA51" s="18" t="s">
        <v>59</v>
      </c>
      <c r="AB51" s="18"/>
      <c r="AC51" s="27"/>
      <c r="AD51" s="19">
        <f>SUM(AD45:AD50)</f>
        <v>70</v>
      </c>
      <c r="AG51" s="21" t="s">
        <v>60</v>
      </c>
      <c r="AH51" s="27">
        <v>0</v>
      </c>
      <c r="AI51" s="18"/>
    </row>
    <row r="52" spans="3:35" x14ac:dyDescent="0.25">
      <c r="C52" s="26"/>
      <c r="D52" s="18"/>
      <c r="E52" s="27">
        <v>0</v>
      </c>
      <c r="F52" s="27">
        <v>0</v>
      </c>
      <c r="G52" s="27" t="e">
        <f t="shared" si="9"/>
        <v>#DIV/0!</v>
      </c>
      <c r="I52" s="18"/>
      <c r="J52" s="18"/>
      <c r="K52" s="27">
        <v>0</v>
      </c>
      <c r="L52" s="26"/>
      <c r="M52" s="27" t="e">
        <f t="shared" si="8"/>
        <v>#DIV/0!</v>
      </c>
      <c r="P52" s="18">
        <v>1</v>
      </c>
      <c r="Q52" s="18" t="s">
        <v>100</v>
      </c>
      <c r="R52" s="27">
        <v>13</v>
      </c>
      <c r="S52" s="27">
        <f t="shared" si="6"/>
        <v>13</v>
      </c>
      <c r="U52" s="18"/>
      <c r="V52" s="18"/>
      <c r="W52" s="18"/>
      <c r="X52" s="27">
        <v>0</v>
      </c>
      <c r="Y52" s="27">
        <f t="shared" si="7"/>
        <v>0</v>
      </c>
      <c r="AA52" s="46"/>
      <c r="AB52" s="46"/>
      <c r="AC52" s="47"/>
      <c r="AD52" s="47"/>
      <c r="AG52" s="18" t="s">
        <v>61</v>
      </c>
      <c r="AH52" s="27">
        <v>0</v>
      </c>
      <c r="AI52" s="18"/>
    </row>
    <row r="53" spans="3:35" x14ac:dyDescent="0.25">
      <c r="C53" s="26"/>
      <c r="D53" s="18"/>
      <c r="E53" s="27">
        <v>0</v>
      </c>
      <c r="F53" s="27">
        <v>0</v>
      </c>
      <c r="G53" s="27" t="e">
        <f t="shared" si="9"/>
        <v>#DIV/0!</v>
      </c>
      <c r="I53" s="18"/>
      <c r="J53" s="18"/>
      <c r="K53" s="27">
        <v>0</v>
      </c>
      <c r="L53" s="26"/>
      <c r="M53" s="27" t="e">
        <f t="shared" si="8"/>
        <v>#DIV/0!</v>
      </c>
      <c r="P53" s="18">
        <v>2</v>
      </c>
      <c r="Q53" s="18" t="s">
        <v>79</v>
      </c>
      <c r="R53" s="27">
        <v>3.5</v>
      </c>
      <c r="S53" s="27">
        <f t="shared" si="6"/>
        <v>7</v>
      </c>
      <c r="U53" s="18"/>
      <c r="V53" s="18"/>
      <c r="W53" s="18"/>
      <c r="X53" s="27">
        <v>0</v>
      </c>
      <c r="Y53" s="27">
        <f t="shared" si="7"/>
        <v>0</v>
      </c>
      <c r="AA53" s="46"/>
      <c r="AB53" s="46"/>
      <c r="AC53" s="47"/>
      <c r="AD53" s="47"/>
      <c r="AG53" s="21" t="s">
        <v>62</v>
      </c>
      <c r="AH53" s="27">
        <v>0</v>
      </c>
      <c r="AI53" s="18"/>
    </row>
    <row r="54" spans="3:35" x14ac:dyDescent="0.25">
      <c r="C54" s="26"/>
      <c r="D54" s="18"/>
      <c r="E54" s="27">
        <f t="shared" ref="E54:E59" si="11">SUM(X54:Z54)</f>
        <v>0</v>
      </c>
      <c r="F54" s="27">
        <v>0</v>
      </c>
      <c r="G54" s="27" t="e">
        <f t="shared" si="9"/>
        <v>#DIV/0!</v>
      </c>
      <c r="I54" s="18"/>
      <c r="J54" s="18"/>
      <c r="K54" s="27">
        <v>0</v>
      </c>
      <c r="L54" s="26"/>
      <c r="M54" s="27" t="e">
        <f t="shared" si="8"/>
        <v>#DIV/0!</v>
      </c>
      <c r="P54" s="18"/>
      <c r="Q54" s="18"/>
      <c r="R54" s="27">
        <v>0</v>
      </c>
      <c r="S54" s="27">
        <f t="shared" si="6"/>
        <v>0</v>
      </c>
      <c r="U54" s="18"/>
      <c r="V54" s="18"/>
      <c r="W54" s="18"/>
      <c r="X54" s="27">
        <v>0</v>
      </c>
      <c r="Y54" s="27">
        <f t="shared" si="7"/>
        <v>0</v>
      </c>
      <c r="AA54" s="48" t="s">
        <v>64</v>
      </c>
      <c r="AB54" s="49"/>
      <c r="AC54" s="49"/>
      <c r="AG54" s="18" t="s">
        <v>65</v>
      </c>
      <c r="AH54" s="27">
        <v>0</v>
      </c>
      <c r="AI54" s="18"/>
    </row>
    <row r="55" spans="3:35" x14ac:dyDescent="0.25">
      <c r="C55" s="26"/>
      <c r="D55" s="18"/>
      <c r="E55" s="27">
        <f t="shared" si="11"/>
        <v>0</v>
      </c>
      <c r="F55" s="27">
        <v>0</v>
      </c>
      <c r="G55" s="27" t="e">
        <f t="shared" si="9"/>
        <v>#DIV/0!</v>
      </c>
      <c r="I55" s="18"/>
      <c r="J55" s="18"/>
      <c r="K55" s="27">
        <v>0</v>
      </c>
      <c r="L55" s="26"/>
      <c r="M55" s="27" t="e">
        <f t="shared" si="8"/>
        <v>#DIV/0!</v>
      </c>
      <c r="P55" s="18"/>
      <c r="Q55" s="18"/>
      <c r="R55" s="27">
        <v>0</v>
      </c>
      <c r="S55" s="27">
        <f t="shared" si="6"/>
        <v>0</v>
      </c>
      <c r="U55" s="18"/>
      <c r="V55" s="18"/>
      <c r="W55" s="18"/>
      <c r="X55" s="27">
        <v>0</v>
      </c>
      <c r="Y55" s="27">
        <f t="shared" si="7"/>
        <v>0</v>
      </c>
      <c r="AA55" s="18" t="s">
        <v>24</v>
      </c>
      <c r="AB55" s="18" t="s">
        <v>25</v>
      </c>
      <c r="AC55" s="18" t="s">
        <v>26</v>
      </c>
      <c r="AD55" s="18" t="s">
        <v>27</v>
      </c>
      <c r="AG55" s="21" t="s">
        <v>67</v>
      </c>
      <c r="AH55" s="27">
        <v>0</v>
      </c>
      <c r="AI55" s="18"/>
    </row>
    <row r="56" spans="3:35" x14ac:dyDescent="0.25">
      <c r="C56" s="26"/>
      <c r="D56" s="18"/>
      <c r="E56" s="27">
        <f t="shared" si="11"/>
        <v>0</v>
      </c>
      <c r="F56" s="27">
        <v>0</v>
      </c>
      <c r="G56" s="27" t="e">
        <f t="shared" si="9"/>
        <v>#DIV/0!</v>
      </c>
      <c r="I56" s="18"/>
      <c r="J56" s="18"/>
      <c r="K56" s="27">
        <v>0</v>
      </c>
      <c r="L56" s="26"/>
      <c r="M56" s="27" t="e">
        <f t="shared" si="8"/>
        <v>#DIV/0!</v>
      </c>
      <c r="P56" s="18"/>
      <c r="Q56" s="18"/>
      <c r="R56" s="27">
        <v>0</v>
      </c>
      <c r="S56" s="27">
        <f t="shared" si="6"/>
        <v>0</v>
      </c>
      <c r="U56" s="18"/>
      <c r="V56" s="18"/>
      <c r="W56" s="18"/>
      <c r="X56" s="27">
        <v>0</v>
      </c>
      <c r="Y56" s="27">
        <f t="shared" si="7"/>
        <v>0</v>
      </c>
      <c r="AA56" s="18"/>
      <c r="AB56" s="18"/>
      <c r="AC56" s="27">
        <v>0</v>
      </c>
      <c r="AD56" s="27">
        <f>AA56*AC56</f>
        <v>0</v>
      </c>
      <c r="AG56" s="18" t="s">
        <v>68</v>
      </c>
      <c r="AH56" s="27">
        <v>0</v>
      </c>
      <c r="AI56" s="18"/>
    </row>
    <row r="57" spans="3:35" x14ac:dyDescent="0.25">
      <c r="C57" s="26"/>
      <c r="D57" s="18"/>
      <c r="E57" s="27">
        <f t="shared" si="11"/>
        <v>0</v>
      </c>
      <c r="F57" s="27">
        <v>0</v>
      </c>
      <c r="G57" s="27" t="e">
        <f t="shared" si="9"/>
        <v>#DIV/0!</v>
      </c>
      <c r="I57" s="18"/>
      <c r="J57" s="18"/>
      <c r="K57" s="27">
        <v>0</v>
      </c>
      <c r="L57" s="26"/>
      <c r="M57" s="27" t="e">
        <f t="shared" si="8"/>
        <v>#DIV/0!</v>
      </c>
      <c r="P57" s="18"/>
      <c r="Q57" s="18"/>
      <c r="R57" s="27">
        <v>0</v>
      </c>
      <c r="S57" s="27">
        <f t="shared" si="6"/>
        <v>0</v>
      </c>
      <c r="U57" s="18"/>
      <c r="V57" s="18"/>
      <c r="W57" s="18"/>
      <c r="X57" s="27">
        <v>0</v>
      </c>
      <c r="Y57" s="27">
        <f t="shared" si="7"/>
        <v>0</v>
      </c>
      <c r="AA57" s="18"/>
      <c r="AB57" s="18"/>
      <c r="AC57" s="27">
        <v>0</v>
      </c>
      <c r="AD57" s="27">
        <f>AA57*AC57</f>
        <v>0</v>
      </c>
      <c r="AG57" s="21" t="s">
        <v>69</v>
      </c>
      <c r="AH57" s="55">
        <v>0</v>
      </c>
      <c r="AI57" s="18"/>
    </row>
    <row r="58" spans="3:35" x14ac:dyDescent="0.25">
      <c r="C58" s="26"/>
      <c r="D58" s="18"/>
      <c r="E58" s="27">
        <f t="shared" si="11"/>
        <v>0</v>
      </c>
      <c r="F58" s="27">
        <v>0</v>
      </c>
      <c r="G58" s="27" t="e">
        <f t="shared" si="9"/>
        <v>#DIV/0!</v>
      </c>
      <c r="I58" s="18"/>
      <c r="J58" s="18"/>
      <c r="K58" s="27">
        <v>0</v>
      </c>
      <c r="L58" s="26"/>
      <c r="M58" s="27" t="e">
        <f t="shared" si="8"/>
        <v>#DIV/0!</v>
      </c>
      <c r="P58" s="18"/>
      <c r="Q58" s="18"/>
      <c r="R58" s="27">
        <v>0</v>
      </c>
      <c r="S58" s="27">
        <f t="shared" si="6"/>
        <v>0</v>
      </c>
      <c r="U58" s="18"/>
      <c r="V58" s="18"/>
      <c r="W58" s="18"/>
      <c r="X58" s="27">
        <v>0</v>
      </c>
      <c r="Y58" s="27">
        <f t="shared" si="7"/>
        <v>0</v>
      </c>
      <c r="AA58" s="18"/>
      <c r="AB58" s="18"/>
      <c r="AC58" s="27">
        <v>0</v>
      </c>
      <c r="AD58" s="27">
        <f>AA58*AC58</f>
        <v>0</v>
      </c>
      <c r="AG58" s="56" t="s">
        <v>70</v>
      </c>
      <c r="AH58" s="55">
        <v>0</v>
      </c>
      <c r="AI58" s="18"/>
    </row>
    <row r="59" spans="3:35" x14ac:dyDescent="0.25">
      <c r="C59" s="26"/>
      <c r="D59" s="18"/>
      <c r="E59" s="27">
        <f t="shared" si="11"/>
        <v>0</v>
      </c>
      <c r="F59" s="27">
        <v>0</v>
      </c>
      <c r="G59" s="27" t="e">
        <f t="shared" si="9"/>
        <v>#DIV/0!</v>
      </c>
      <c r="I59" s="18"/>
      <c r="J59" s="18"/>
      <c r="K59" s="27">
        <v>0</v>
      </c>
      <c r="L59" s="26"/>
      <c r="M59" s="27" t="e">
        <f t="shared" si="8"/>
        <v>#DIV/0!</v>
      </c>
      <c r="P59" s="18"/>
      <c r="Q59" s="18"/>
      <c r="R59" s="27">
        <v>0</v>
      </c>
      <c r="S59" s="27">
        <f t="shared" si="6"/>
        <v>0</v>
      </c>
      <c r="U59" s="18"/>
      <c r="V59" s="18"/>
      <c r="W59" s="18"/>
      <c r="X59" s="27">
        <v>0</v>
      </c>
      <c r="Y59" s="27">
        <f t="shared" si="7"/>
        <v>0</v>
      </c>
      <c r="AA59" s="18"/>
      <c r="AB59" s="18"/>
      <c r="AC59" s="27">
        <v>0</v>
      </c>
      <c r="AD59" s="27">
        <f>AA59*AC59</f>
        <v>0</v>
      </c>
      <c r="AG59" s="21" t="s">
        <v>71</v>
      </c>
      <c r="AH59" s="27">
        <v>0</v>
      </c>
      <c r="AI59" s="18"/>
    </row>
    <row r="60" spans="3:35" x14ac:dyDescent="0.25">
      <c r="C60" s="18" t="s">
        <v>59</v>
      </c>
      <c r="D60" s="18" t="s">
        <v>101</v>
      </c>
      <c r="E60" s="57">
        <f>SUM(E42:E59)</f>
        <v>11133</v>
      </c>
      <c r="F60" s="18"/>
      <c r="G60" s="18"/>
      <c r="I60" s="18" t="s">
        <v>59</v>
      </c>
      <c r="J60" s="18"/>
      <c r="K60" s="22">
        <f>SUM(K42:K59)</f>
        <v>0</v>
      </c>
      <c r="L60" s="26"/>
      <c r="M60" s="18"/>
      <c r="P60" s="83" t="s">
        <v>27</v>
      </c>
      <c r="Q60" s="84"/>
      <c r="R60" s="85"/>
      <c r="S60" s="58">
        <f>SUM(S42:S59)</f>
        <v>349</v>
      </c>
      <c r="U60" s="83" t="s">
        <v>27</v>
      </c>
      <c r="V60" s="84"/>
      <c r="W60" s="84"/>
      <c r="X60" s="85"/>
      <c r="Y60" s="58">
        <f>SUM(Y42:Y59)</f>
        <v>77.5</v>
      </c>
      <c r="AA60" s="18"/>
      <c r="AB60" s="18"/>
      <c r="AC60" s="27">
        <v>0</v>
      </c>
      <c r="AD60" s="27">
        <f>SUM(AD56:AD59)</f>
        <v>0</v>
      </c>
      <c r="AG60" s="18" t="s">
        <v>72</v>
      </c>
      <c r="AH60" s="27">
        <v>0</v>
      </c>
      <c r="AI60" s="18"/>
    </row>
    <row r="61" spans="3:35" x14ac:dyDescent="0.25">
      <c r="AG61" s="60" t="s">
        <v>73</v>
      </c>
      <c r="AH61" s="61">
        <f>AH41-AH42-AH43-AH44-AH45-AH46-AH47-AH48-AH49-AH50-AH51-AH52-AH53-AH54-AH55-AH56-AH57-AH58-AH59-AH60</f>
        <v>-5965</v>
      </c>
      <c r="AI61" s="60"/>
    </row>
    <row r="65" spans="3:35" x14ac:dyDescent="0.25">
      <c r="C65" t="s">
        <v>102</v>
      </c>
      <c r="AA65" t="str">
        <f>C65</f>
        <v>FECHA: MIERCOLES 8 DE ABRIL</v>
      </c>
    </row>
    <row r="66" spans="3:35" x14ac:dyDescent="0.25">
      <c r="C66" s="43" t="s">
        <v>76</v>
      </c>
      <c r="D66" s="65"/>
      <c r="P66" s="18" t="str">
        <f>C65</f>
        <v>FECHA: MIERCOLES 8 DE ABRIL</v>
      </c>
      <c r="U66" s="18" t="str">
        <f>P66</f>
        <v>FECHA: MIERCOLES 8 DE ABRIL</v>
      </c>
      <c r="AA66" s="24" t="s">
        <v>3</v>
      </c>
      <c r="AB66" s="25"/>
      <c r="AG66" s="66" t="str">
        <f>AA65</f>
        <v>FECHA: MIERCOLES 8 DE ABRIL</v>
      </c>
    </row>
    <row r="67" spans="3:35" x14ac:dyDescent="0.25">
      <c r="C67" s="74" t="s">
        <v>7</v>
      </c>
      <c r="D67" s="75"/>
      <c r="E67" s="75"/>
      <c r="F67" s="75"/>
      <c r="G67" s="76"/>
      <c r="I67" s="77" t="s">
        <v>8</v>
      </c>
      <c r="J67" s="78"/>
      <c r="K67" s="78"/>
      <c r="L67" s="78"/>
      <c r="M67" s="79"/>
      <c r="P67" s="74" t="s">
        <v>9</v>
      </c>
      <c r="Q67" s="75"/>
      <c r="R67" s="75"/>
      <c r="S67" s="76"/>
      <c r="U67" s="80" t="s">
        <v>77</v>
      </c>
      <c r="V67" s="81"/>
      <c r="W67" s="81"/>
      <c r="X67" s="81"/>
      <c r="Y67" s="82"/>
      <c r="AA67" s="10" t="s">
        <v>11</v>
      </c>
      <c r="AB67" s="11" t="s">
        <v>12</v>
      </c>
      <c r="AC67" s="12" t="s">
        <v>13</v>
      </c>
      <c r="AD67" s="13" t="s">
        <v>14</v>
      </c>
      <c r="AG67" s="14" t="s">
        <v>15</v>
      </c>
      <c r="AH67" s="15" t="s">
        <v>16</v>
      </c>
      <c r="AI67" s="16" t="s">
        <v>17</v>
      </c>
    </row>
    <row r="68" spans="3:35" x14ac:dyDescent="0.25">
      <c r="C68" s="18" t="s">
        <v>19</v>
      </c>
      <c r="D68" s="18" t="s">
        <v>20</v>
      </c>
      <c r="E68" s="18" t="s">
        <v>21</v>
      </c>
      <c r="F68" s="18" t="s">
        <v>22</v>
      </c>
      <c r="G68" s="18" t="s">
        <v>23</v>
      </c>
      <c r="I68" s="18" t="s">
        <v>19</v>
      </c>
      <c r="J68" s="18" t="s">
        <v>20</v>
      </c>
      <c r="K68" s="18" t="s">
        <v>21</v>
      </c>
      <c r="L68" s="18" t="s">
        <v>22</v>
      </c>
      <c r="M68" s="18" t="s">
        <v>23</v>
      </c>
      <c r="P68" s="18" t="s">
        <v>24</v>
      </c>
      <c r="Q68" s="18" t="s">
        <v>25</v>
      </c>
      <c r="R68" s="18" t="s">
        <v>26</v>
      </c>
      <c r="S68" s="18" t="s">
        <v>27</v>
      </c>
      <c r="U68" s="18" t="s">
        <v>24</v>
      </c>
      <c r="V68" s="18" t="s">
        <v>25</v>
      </c>
      <c r="W68" s="18"/>
      <c r="X68" s="18" t="s">
        <v>26</v>
      </c>
      <c r="Y68" s="18" t="s">
        <v>27</v>
      </c>
      <c r="AA68" s="13" t="s">
        <v>47</v>
      </c>
      <c r="AB68" s="19">
        <v>3075.5</v>
      </c>
      <c r="AC68" s="20">
        <v>1918</v>
      </c>
      <c r="AD68" s="19">
        <f>AB68+AC68</f>
        <v>4993.5</v>
      </c>
      <c r="AG68" s="21" t="s">
        <v>29</v>
      </c>
      <c r="AH68" s="22">
        <f>AD68</f>
        <v>4993.5</v>
      </c>
      <c r="AI68" s="18"/>
    </row>
    <row r="69" spans="3:35" x14ac:dyDescent="0.25">
      <c r="C69" s="26">
        <v>1</v>
      </c>
      <c r="D69" s="18" t="s">
        <v>103</v>
      </c>
      <c r="E69" s="27">
        <v>110</v>
      </c>
      <c r="F69" s="27">
        <v>1</v>
      </c>
      <c r="G69" s="27">
        <f>E69/F69</f>
        <v>110</v>
      </c>
      <c r="I69" s="18"/>
      <c r="J69" s="18"/>
      <c r="K69" s="27">
        <v>0</v>
      </c>
      <c r="L69" s="28"/>
      <c r="M69" s="27" t="e">
        <f>K69/L69</f>
        <v>#DIV/0!</v>
      </c>
      <c r="P69" s="18">
        <v>3</v>
      </c>
      <c r="Q69" s="18" t="s">
        <v>104</v>
      </c>
      <c r="R69" s="27">
        <v>17</v>
      </c>
      <c r="S69" s="27">
        <f t="shared" ref="S69:S86" si="12">P69*R69</f>
        <v>51</v>
      </c>
      <c r="U69" s="18">
        <v>1</v>
      </c>
      <c r="V69" s="18" t="s">
        <v>34</v>
      </c>
      <c r="W69" s="18"/>
      <c r="X69" s="27">
        <v>3.5</v>
      </c>
      <c r="Y69" s="27">
        <f t="shared" ref="Y69:Y86" si="13">U69*X69</f>
        <v>3.5</v>
      </c>
      <c r="AG69" s="18" t="s">
        <v>9</v>
      </c>
      <c r="AH69" s="22">
        <f>S87</f>
        <v>428</v>
      </c>
      <c r="AI69" s="18"/>
    </row>
    <row r="70" spans="3:35" x14ac:dyDescent="0.25">
      <c r="C70" s="26"/>
      <c r="D70" s="18"/>
      <c r="E70" s="27">
        <v>0</v>
      </c>
      <c r="F70" s="27">
        <v>0</v>
      </c>
      <c r="G70" s="27" t="e">
        <f>E70/F70</f>
        <v>#DIV/0!</v>
      </c>
      <c r="I70" s="18"/>
      <c r="J70" s="18"/>
      <c r="K70" s="27">
        <v>0</v>
      </c>
      <c r="L70" s="28"/>
      <c r="M70" s="27" t="e">
        <f t="shared" ref="M70:M86" si="14">K70/L70</f>
        <v>#DIV/0!</v>
      </c>
      <c r="P70" s="18">
        <v>1</v>
      </c>
      <c r="Q70" s="18" t="s">
        <v>105</v>
      </c>
      <c r="R70" s="27">
        <v>17</v>
      </c>
      <c r="S70" s="27">
        <f t="shared" si="12"/>
        <v>17</v>
      </c>
      <c r="U70" s="18">
        <v>1</v>
      </c>
      <c r="V70" s="18" t="s">
        <v>37</v>
      </c>
      <c r="W70" s="18"/>
      <c r="X70" s="27">
        <v>14</v>
      </c>
      <c r="Y70" s="27">
        <f t="shared" si="13"/>
        <v>14</v>
      </c>
      <c r="AA70" s="35" t="s">
        <v>38</v>
      </c>
      <c r="AB70" s="36"/>
      <c r="AG70" s="21" t="s">
        <v>10</v>
      </c>
      <c r="AH70" s="22">
        <f>Y87</f>
        <v>46</v>
      </c>
      <c r="AI70" s="18"/>
    </row>
    <row r="71" spans="3:35" x14ac:dyDescent="0.25">
      <c r="C71" s="26"/>
      <c r="D71" s="18"/>
      <c r="E71" s="27">
        <v>0</v>
      </c>
      <c r="F71" s="27">
        <v>0</v>
      </c>
      <c r="G71" s="27" t="e">
        <f t="shared" ref="G71:G86" si="15">E71/F71</f>
        <v>#DIV/0!</v>
      </c>
      <c r="I71" s="18"/>
      <c r="J71" s="18"/>
      <c r="K71" s="27">
        <v>0</v>
      </c>
      <c r="L71" s="26"/>
      <c r="M71" s="27" t="e">
        <f t="shared" si="14"/>
        <v>#DIV/0!</v>
      </c>
      <c r="P71" s="18">
        <v>2</v>
      </c>
      <c r="Q71" s="18" t="s">
        <v>106</v>
      </c>
      <c r="R71" s="27">
        <v>14</v>
      </c>
      <c r="S71" s="27">
        <f t="shared" si="12"/>
        <v>28</v>
      </c>
      <c r="U71" s="18">
        <v>1</v>
      </c>
      <c r="V71" s="18" t="s">
        <v>107</v>
      </c>
      <c r="W71" s="18"/>
      <c r="X71" s="27">
        <v>12.5</v>
      </c>
      <c r="Y71" s="27">
        <f t="shared" si="13"/>
        <v>12.5</v>
      </c>
      <c r="AA71" s="18" t="s">
        <v>24</v>
      </c>
      <c r="AB71" s="18" t="s">
        <v>25</v>
      </c>
      <c r="AC71" s="18" t="s">
        <v>26</v>
      </c>
      <c r="AD71" s="18" t="s">
        <v>27</v>
      </c>
      <c r="AG71" s="18" t="s">
        <v>42</v>
      </c>
      <c r="AH71" s="22">
        <f>E87</f>
        <v>110</v>
      </c>
      <c r="AI71" s="18"/>
    </row>
    <row r="72" spans="3:35" x14ac:dyDescent="0.25">
      <c r="C72" s="26"/>
      <c r="D72" s="18"/>
      <c r="E72" s="27">
        <v>0</v>
      </c>
      <c r="F72" s="27">
        <v>0</v>
      </c>
      <c r="G72" s="27" t="e">
        <f t="shared" si="15"/>
        <v>#DIV/0!</v>
      </c>
      <c r="I72" s="18"/>
      <c r="J72" s="18"/>
      <c r="K72" s="27">
        <v>0</v>
      </c>
      <c r="L72" s="26"/>
      <c r="M72" s="27" t="e">
        <f t="shared" si="14"/>
        <v>#DIV/0!</v>
      </c>
      <c r="P72" s="18">
        <v>1</v>
      </c>
      <c r="Q72" s="18" t="s">
        <v>108</v>
      </c>
      <c r="R72" s="27">
        <v>21</v>
      </c>
      <c r="S72" s="27">
        <f t="shared" si="12"/>
        <v>21</v>
      </c>
      <c r="U72" s="18">
        <v>1</v>
      </c>
      <c r="V72" s="18" t="s">
        <v>109</v>
      </c>
      <c r="W72" s="18"/>
      <c r="X72" s="27">
        <v>16</v>
      </c>
      <c r="Y72" s="27">
        <f t="shared" si="13"/>
        <v>16</v>
      </c>
      <c r="AA72" s="18">
        <v>1</v>
      </c>
      <c r="AB72" s="18" t="s">
        <v>110</v>
      </c>
      <c r="AC72" s="27">
        <v>50</v>
      </c>
      <c r="AD72" s="27">
        <f t="shared" ref="AD72:AD77" si="16">AA72*AC72</f>
        <v>50</v>
      </c>
      <c r="AG72" s="21" t="s">
        <v>46</v>
      </c>
      <c r="AH72" s="22">
        <f>K87</f>
        <v>0</v>
      </c>
      <c r="AI72" s="18"/>
    </row>
    <row r="73" spans="3:35" x14ac:dyDescent="0.25">
      <c r="C73" s="26"/>
      <c r="D73" s="18"/>
      <c r="E73" s="27">
        <v>0</v>
      </c>
      <c r="F73" s="27">
        <v>0</v>
      </c>
      <c r="G73" s="27" t="e">
        <f t="shared" si="15"/>
        <v>#DIV/0!</v>
      </c>
      <c r="I73" s="18"/>
      <c r="J73" s="18"/>
      <c r="K73" s="27">
        <v>0</v>
      </c>
      <c r="L73" s="26"/>
      <c r="M73" s="27" t="e">
        <f t="shared" si="14"/>
        <v>#DIV/0!</v>
      </c>
      <c r="P73" s="18">
        <v>7</v>
      </c>
      <c r="Q73" s="18" t="s">
        <v>111</v>
      </c>
      <c r="R73" s="27">
        <v>18</v>
      </c>
      <c r="S73" s="27">
        <f t="shared" si="12"/>
        <v>126</v>
      </c>
      <c r="U73" s="18"/>
      <c r="V73" s="18"/>
      <c r="W73" s="18"/>
      <c r="X73" s="27">
        <v>0</v>
      </c>
      <c r="Y73" s="27">
        <f t="shared" si="13"/>
        <v>0</v>
      </c>
      <c r="AA73" s="18"/>
      <c r="AB73" s="18"/>
      <c r="AC73" s="27">
        <v>0</v>
      </c>
      <c r="AD73" s="27">
        <f t="shared" si="16"/>
        <v>0</v>
      </c>
      <c r="AG73" s="18" t="s">
        <v>50</v>
      </c>
      <c r="AH73" s="27">
        <v>0</v>
      </c>
      <c r="AI73" s="18"/>
    </row>
    <row r="74" spans="3:35" x14ac:dyDescent="0.25">
      <c r="C74" s="26"/>
      <c r="D74" s="18"/>
      <c r="E74" s="27">
        <v>0</v>
      </c>
      <c r="F74" s="27">
        <v>0</v>
      </c>
      <c r="G74" s="27" t="e">
        <f t="shared" si="15"/>
        <v>#DIV/0!</v>
      </c>
      <c r="I74" s="18"/>
      <c r="J74" s="18"/>
      <c r="K74" s="27">
        <v>0</v>
      </c>
      <c r="L74" s="26"/>
      <c r="M74" s="27" t="e">
        <f t="shared" si="14"/>
        <v>#DIV/0!</v>
      </c>
      <c r="P74" s="18">
        <v>1</v>
      </c>
      <c r="Q74" s="18" t="s">
        <v>37</v>
      </c>
      <c r="R74" s="27">
        <v>14</v>
      </c>
      <c r="S74" s="27">
        <f t="shared" si="12"/>
        <v>14</v>
      </c>
      <c r="U74" s="18"/>
      <c r="V74" s="18"/>
      <c r="W74" s="18"/>
      <c r="X74" s="27">
        <v>0</v>
      </c>
      <c r="Y74" s="27">
        <f t="shared" si="13"/>
        <v>0</v>
      </c>
      <c r="AA74" s="18"/>
      <c r="AB74" s="18"/>
      <c r="AC74" s="27">
        <v>0</v>
      </c>
      <c r="AD74" s="27">
        <f t="shared" si="16"/>
        <v>0</v>
      </c>
      <c r="AG74" s="21" t="s">
        <v>52</v>
      </c>
      <c r="AH74" s="27">
        <v>0</v>
      </c>
      <c r="AI74" s="18"/>
    </row>
    <row r="75" spans="3:35" x14ac:dyDescent="0.25">
      <c r="C75" s="26"/>
      <c r="D75" s="18"/>
      <c r="E75" s="27">
        <v>0</v>
      </c>
      <c r="F75" s="27">
        <v>0</v>
      </c>
      <c r="G75" s="27" t="e">
        <f t="shared" si="15"/>
        <v>#DIV/0!</v>
      </c>
      <c r="I75" s="18"/>
      <c r="J75" s="18"/>
      <c r="K75" s="27">
        <v>0</v>
      </c>
      <c r="L75" s="26"/>
      <c r="M75" s="27" t="e">
        <f t="shared" si="14"/>
        <v>#DIV/0!</v>
      </c>
      <c r="P75" s="18">
        <v>10</v>
      </c>
      <c r="Q75" s="18" t="s">
        <v>112</v>
      </c>
      <c r="R75" s="27">
        <v>11</v>
      </c>
      <c r="S75" s="27">
        <f t="shared" si="12"/>
        <v>110</v>
      </c>
      <c r="U75" s="18"/>
      <c r="V75" s="18"/>
      <c r="W75" s="18"/>
      <c r="X75" s="27">
        <v>0</v>
      </c>
      <c r="Y75" s="27">
        <f t="shared" si="13"/>
        <v>0</v>
      </c>
      <c r="AA75" s="18"/>
      <c r="AB75" s="18"/>
      <c r="AC75" s="27">
        <v>0</v>
      </c>
      <c r="AD75" s="27">
        <f t="shared" si="16"/>
        <v>0</v>
      </c>
      <c r="AG75" s="18" t="s">
        <v>54</v>
      </c>
      <c r="AH75" s="27">
        <v>0</v>
      </c>
      <c r="AI75" s="18"/>
    </row>
    <row r="76" spans="3:35" x14ac:dyDescent="0.25">
      <c r="C76" s="26"/>
      <c r="D76" s="18"/>
      <c r="E76" s="27">
        <v>0</v>
      </c>
      <c r="F76" s="27">
        <v>0</v>
      </c>
      <c r="G76" s="27" t="e">
        <f t="shared" si="15"/>
        <v>#DIV/0!</v>
      </c>
      <c r="I76" s="18"/>
      <c r="J76" s="18"/>
      <c r="K76" s="27">
        <v>0</v>
      </c>
      <c r="L76" s="26"/>
      <c r="M76" s="27" t="e">
        <f t="shared" si="14"/>
        <v>#DIV/0!</v>
      </c>
      <c r="P76" s="18">
        <v>2</v>
      </c>
      <c r="Q76" s="18" t="s">
        <v>106</v>
      </c>
      <c r="R76" s="27">
        <v>14</v>
      </c>
      <c r="S76" s="27">
        <f t="shared" si="12"/>
        <v>28</v>
      </c>
      <c r="U76" s="18"/>
      <c r="V76" s="18"/>
      <c r="W76" s="18"/>
      <c r="X76" s="27">
        <v>0</v>
      </c>
      <c r="Y76" s="27">
        <f t="shared" si="13"/>
        <v>0</v>
      </c>
      <c r="AA76" s="18"/>
      <c r="AB76" s="18"/>
      <c r="AC76" s="27">
        <v>0</v>
      </c>
      <c r="AD76" s="27">
        <f t="shared" si="16"/>
        <v>0</v>
      </c>
      <c r="AG76" s="21" t="s">
        <v>56</v>
      </c>
      <c r="AH76" s="27">
        <v>45</v>
      </c>
      <c r="AI76" s="18"/>
    </row>
    <row r="77" spans="3:35" x14ac:dyDescent="0.25">
      <c r="C77" s="26"/>
      <c r="D77" s="18"/>
      <c r="E77" s="27">
        <v>0</v>
      </c>
      <c r="F77" s="27">
        <v>0</v>
      </c>
      <c r="G77" s="27" t="e">
        <f t="shared" si="15"/>
        <v>#DIV/0!</v>
      </c>
      <c r="I77" s="18"/>
      <c r="J77" s="18"/>
      <c r="K77" s="27">
        <v>0</v>
      </c>
      <c r="L77" s="26"/>
      <c r="M77" s="27" t="e">
        <f t="shared" si="14"/>
        <v>#DIV/0!</v>
      </c>
      <c r="P77" s="18">
        <v>1</v>
      </c>
      <c r="Q77" s="18" t="s">
        <v>105</v>
      </c>
      <c r="R77" s="27">
        <v>17</v>
      </c>
      <c r="S77" s="27">
        <f t="shared" si="12"/>
        <v>17</v>
      </c>
      <c r="U77" s="18"/>
      <c r="V77" s="18"/>
      <c r="W77" s="18"/>
      <c r="X77" s="27">
        <v>0</v>
      </c>
      <c r="Y77" s="27">
        <f t="shared" si="13"/>
        <v>0</v>
      </c>
      <c r="AA77" s="18"/>
      <c r="AB77" s="18"/>
      <c r="AC77" s="27">
        <v>0</v>
      </c>
      <c r="AD77" s="27">
        <f t="shared" si="16"/>
        <v>0</v>
      </c>
      <c r="AG77" s="18" t="s">
        <v>58</v>
      </c>
      <c r="AH77" s="27">
        <v>0</v>
      </c>
      <c r="AI77" s="18"/>
    </row>
    <row r="78" spans="3:35" x14ac:dyDescent="0.25">
      <c r="C78" s="26"/>
      <c r="D78" s="18"/>
      <c r="E78" s="27">
        <v>0</v>
      </c>
      <c r="F78" s="27">
        <v>0</v>
      </c>
      <c r="G78" s="27" t="e">
        <f t="shared" si="15"/>
        <v>#DIV/0!</v>
      </c>
      <c r="I78" s="18"/>
      <c r="J78" s="18"/>
      <c r="K78" s="27">
        <v>0</v>
      </c>
      <c r="L78" s="26"/>
      <c r="M78" s="27" t="e">
        <f t="shared" si="14"/>
        <v>#DIV/0!</v>
      </c>
      <c r="P78" s="18">
        <v>1</v>
      </c>
      <c r="Q78" s="18" t="s">
        <v>113</v>
      </c>
      <c r="R78" s="27">
        <v>16</v>
      </c>
      <c r="S78" s="27">
        <f t="shared" si="12"/>
        <v>16</v>
      </c>
      <c r="U78" s="18"/>
      <c r="V78" s="18"/>
      <c r="W78" s="18"/>
      <c r="X78" s="27">
        <v>0</v>
      </c>
      <c r="Y78" s="27">
        <f t="shared" si="13"/>
        <v>0</v>
      </c>
      <c r="AA78" s="18" t="s">
        <v>59</v>
      </c>
      <c r="AB78" s="18"/>
      <c r="AC78" s="27"/>
      <c r="AD78" s="19">
        <f>SUM(AD72:AD77)</f>
        <v>50</v>
      </c>
      <c r="AG78" s="21" t="s">
        <v>60</v>
      </c>
      <c r="AH78" s="27">
        <v>0</v>
      </c>
      <c r="AI78" s="18"/>
    </row>
    <row r="79" spans="3:35" x14ac:dyDescent="0.25">
      <c r="C79" s="26"/>
      <c r="D79" s="18"/>
      <c r="E79" s="27">
        <v>0</v>
      </c>
      <c r="F79" s="27">
        <v>0</v>
      </c>
      <c r="G79" s="27" t="e">
        <f t="shared" si="15"/>
        <v>#DIV/0!</v>
      </c>
      <c r="I79" s="18"/>
      <c r="J79" s="18"/>
      <c r="K79" s="27">
        <v>0</v>
      </c>
      <c r="L79" s="26"/>
      <c r="M79" s="27" t="e">
        <f t="shared" si="14"/>
        <v>#DIV/0!</v>
      </c>
      <c r="P79" s="18"/>
      <c r="Q79" s="18"/>
      <c r="R79" s="27">
        <v>0</v>
      </c>
      <c r="S79" s="27">
        <f t="shared" si="12"/>
        <v>0</v>
      </c>
      <c r="U79" s="18"/>
      <c r="V79" s="18"/>
      <c r="W79" s="18"/>
      <c r="X79" s="27">
        <v>0</v>
      </c>
      <c r="Y79" s="27">
        <f t="shared" si="13"/>
        <v>0</v>
      </c>
      <c r="AA79" s="46"/>
      <c r="AB79" s="46"/>
      <c r="AC79" s="47"/>
      <c r="AD79" s="47"/>
      <c r="AG79" s="18" t="s">
        <v>61</v>
      </c>
      <c r="AH79" s="27">
        <v>0</v>
      </c>
      <c r="AI79" s="18"/>
    </row>
    <row r="80" spans="3:35" x14ac:dyDescent="0.25">
      <c r="C80" s="26"/>
      <c r="D80" s="18"/>
      <c r="E80" s="27">
        <v>0</v>
      </c>
      <c r="F80" s="27">
        <v>0</v>
      </c>
      <c r="G80" s="27" t="e">
        <f t="shared" si="15"/>
        <v>#DIV/0!</v>
      </c>
      <c r="I80" s="18"/>
      <c r="J80" s="18"/>
      <c r="K80" s="27">
        <v>0</v>
      </c>
      <c r="L80" s="26"/>
      <c r="M80" s="27" t="e">
        <f t="shared" si="14"/>
        <v>#DIV/0!</v>
      </c>
      <c r="P80" s="18"/>
      <c r="Q80" s="18"/>
      <c r="R80" s="27">
        <v>0</v>
      </c>
      <c r="S80" s="27">
        <f t="shared" si="12"/>
        <v>0</v>
      </c>
      <c r="U80" s="18"/>
      <c r="V80" s="18"/>
      <c r="W80" s="18"/>
      <c r="X80" s="27">
        <v>0</v>
      </c>
      <c r="Y80" s="27">
        <f t="shared" si="13"/>
        <v>0</v>
      </c>
      <c r="AA80" s="46"/>
      <c r="AB80" s="46"/>
      <c r="AC80" s="47"/>
      <c r="AD80" s="47"/>
      <c r="AG80" s="21" t="s">
        <v>62</v>
      </c>
      <c r="AH80" s="27">
        <v>0</v>
      </c>
      <c r="AI80" s="18"/>
    </row>
    <row r="81" spans="3:35" x14ac:dyDescent="0.25">
      <c r="C81" s="26"/>
      <c r="D81" s="18"/>
      <c r="E81" s="27">
        <f t="shared" ref="E81:E86" si="17">SUM(X81:Z81)</f>
        <v>0</v>
      </c>
      <c r="F81" s="27">
        <v>0</v>
      </c>
      <c r="G81" s="27" t="e">
        <f t="shared" si="15"/>
        <v>#DIV/0!</v>
      </c>
      <c r="I81" s="18"/>
      <c r="J81" s="18"/>
      <c r="K81" s="27">
        <v>0</v>
      </c>
      <c r="L81" s="26"/>
      <c r="M81" s="27" t="e">
        <f t="shared" si="14"/>
        <v>#DIV/0!</v>
      </c>
      <c r="P81" s="18"/>
      <c r="Q81" s="18"/>
      <c r="R81" s="27">
        <v>0</v>
      </c>
      <c r="S81" s="27">
        <f t="shared" si="12"/>
        <v>0</v>
      </c>
      <c r="U81" s="18"/>
      <c r="V81" s="18"/>
      <c r="W81" s="18"/>
      <c r="X81" s="27">
        <v>0</v>
      </c>
      <c r="Y81" s="27">
        <f t="shared" si="13"/>
        <v>0</v>
      </c>
      <c r="AA81" s="48" t="s">
        <v>64</v>
      </c>
      <c r="AB81" s="49"/>
      <c r="AC81" s="49"/>
      <c r="AG81" s="18" t="s">
        <v>65</v>
      </c>
      <c r="AH81" s="27">
        <v>0</v>
      </c>
      <c r="AI81" s="18"/>
    </row>
    <row r="82" spans="3:35" x14ac:dyDescent="0.25">
      <c r="C82" s="26"/>
      <c r="D82" s="18"/>
      <c r="E82" s="27">
        <f t="shared" si="17"/>
        <v>0</v>
      </c>
      <c r="F82" s="27">
        <v>0</v>
      </c>
      <c r="G82" s="27" t="e">
        <f t="shared" si="15"/>
        <v>#DIV/0!</v>
      </c>
      <c r="I82" s="18"/>
      <c r="J82" s="18"/>
      <c r="K82" s="27">
        <v>0</v>
      </c>
      <c r="L82" s="26"/>
      <c r="M82" s="27" t="e">
        <f t="shared" si="14"/>
        <v>#DIV/0!</v>
      </c>
      <c r="P82" s="18"/>
      <c r="Q82" s="18"/>
      <c r="R82" s="27">
        <v>0</v>
      </c>
      <c r="S82" s="27">
        <f t="shared" si="12"/>
        <v>0</v>
      </c>
      <c r="U82" s="18"/>
      <c r="V82" s="18"/>
      <c r="W82" s="18"/>
      <c r="X82" s="27">
        <v>0</v>
      </c>
      <c r="Y82" s="27">
        <f t="shared" si="13"/>
        <v>0</v>
      </c>
      <c r="AA82" s="18" t="s">
        <v>24</v>
      </c>
      <c r="AB82" s="18" t="s">
        <v>25</v>
      </c>
      <c r="AC82" s="18" t="s">
        <v>26</v>
      </c>
      <c r="AD82" s="18" t="s">
        <v>27</v>
      </c>
      <c r="AG82" s="21" t="s">
        <v>67</v>
      </c>
      <c r="AH82" s="27">
        <v>0</v>
      </c>
      <c r="AI82" s="18"/>
    </row>
    <row r="83" spans="3:35" x14ac:dyDescent="0.25">
      <c r="C83" s="26"/>
      <c r="D83" s="18"/>
      <c r="E83" s="27">
        <f t="shared" si="17"/>
        <v>0</v>
      </c>
      <c r="F83" s="27">
        <v>0</v>
      </c>
      <c r="G83" s="27" t="e">
        <f t="shared" si="15"/>
        <v>#DIV/0!</v>
      </c>
      <c r="I83" s="18"/>
      <c r="J83" s="18"/>
      <c r="K83" s="27">
        <v>0</v>
      </c>
      <c r="L83" s="26"/>
      <c r="M83" s="27" t="e">
        <f t="shared" si="14"/>
        <v>#DIV/0!</v>
      </c>
      <c r="P83" s="18"/>
      <c r="Q83" s="18"/>
      <c r="R83" s="27">
        <v>0</v>
      </c>
      <c r="S83" s="27">
        <f t="shared" si="12"/>
        <v>0</v>
      </c>
      <c r="U83" s="18"/>
      <c r="V83" s="18"/>
      <c r="W83" s="18"/>
      <c r="X83" s="27">
        <v>0</v>
      </c>
      <c r="Y83" s="27">
        <f t="shared" si="13"/>
        <v>0</v>
      </c>
      <c r="AA83" s="18"/>
      <c r="AB83" s="18"/>
      <c r="AC83" s="27">
        <v>0</v>
      </c>
      <c r="AD83" s="27">
        <f>AA83*AC83</f>
        <v>0</v>
      </c>
      <c r="AG83" s="18" t="s">
        <v>68</v>
      </c>
      <c r="AH83" s="27">
        <v>0</v>
      </c>
      <c r="AI83" s="18"/>
    </row>
    <row r="84" spans="3:35" x14ac:dyDescent="0.25">
      <c r="C84" s="26"/>
      <c r="D84" s="18"/>
      <c r="E84" s="27">
        <f t="shared" si="17"/>
        <v>0</v>
      </c>
      <c r="F84" s="27">
        <v>0</v>
      </c>
      <c r="G84" s="27" t="e">
        <f t="shared" si="15"/>
        <v>#DIV/0!</v>
      </c>
      <c r="I84" s="18"/>
      <c r="J84" s="18"/>
      <c r="K84" s="27">
        <v>0</v>
      </c>
      <c r="L84" s="26"/>
      <c r="M84" s="27" t="e">
        <f t="shared" si="14"/>
        <v>#DIV/0!</v>
      </c>
      <c r="P84" s="18"/>
      <c r="Q84" s="18"/>
      <c r="R84" s="27">
        <v>0</v>
      </c>
      <c r="S84" s="27">
        <f t="shared" si="12"/>
        <v>0</v>
      </c>
      <c r="U84" s="18"/>
      <c r="V84" s="18"/>
      <c r="W84" s="18"/>
      <c r="X84" s="27">
        <v>0</v>
      </c>
      <c r="Y84" s="27">
        <f t="shared" si="13"/>
        <v>0</v>
      </c>
      <c r="AA84" s="18"/>
      <c r="AB84" s="18"/>
      <c r="AC84" s="27">
        <v>0</v>
      </c>
      <c r="AD84" s="27">
        <f>AA84*AC84</f>
        <v>0</v>
      </c>
      <c r="AG84" s="21" t="s">
        <v>69</v>
      </c>
      <c r="AH84" s="55">
        <f>AD78</f>
        <v>50</v>
      </c>
      <c r="AI84" s="18"/>
    </row>
    <row r="85" spans="3:35" x14ac:dyDescent="0.25">
      <c r="C85" s="26"/>
      <c r="D85" s="18"/>
      <c r="E85" s="27">
        <f t="shared" si="17"/>
        <v>0</v>
      </c>
      <c r="F85" s="27">
        <v>0</v>
      </c>
      <c r="G85" s="27" t="e">
        <f t="shared" si="15"/>
        <v>#DIV/0!</v>
      </c>
      <c r="I85" s="18"/>
      <c r="J85" s="18"/>
      <c r="K85" s="27">
        <v>0</v>
      </c>
      <c r="L85" s="26"/>
      <c r="M85" s="27" t="e">
        <f t="shared" si="14"/>
        <v>#DIV/0!</v>
      </c>
      <c r="P85" s="18"/>
      <c r="Q85" s="18"/>
      <c r="R85" s="27">
        <v>0</v>
      </c>
      <c r="S85" s="27">
        <f t="shared" si="12"/>
        <v>0</v>
      </c>
      <c r="U85" s="18"/>
      <c r="V85" s="18"/>
      <c r="W85" s="18"/>
      <c r="X85" s="27">
        <v>0</v>
      </c>
      <c r="Y85" s="27">
        <f t="shared" si="13"/>
        <v>0</v>
      </c>
      <c r="AA85" s="18"/>
      <c r="AB85" s="18"/>
      <c r="AC85" s="27">
        <v>0</v>
      </c>
      <c r="AD85" s="27">
        <f>AA85*AC85</f>
        <v>0</v>
      </c>
      <c r="AG85" s="56" t="s">
        <v>70</v>
      </c>
      <c r="AH85" s="55">
        <v>0</v>
      </c>
      <c r="AI85" s="18"/>
    </row>
    <row r="86" spans="3:35" x14ac:dyDescent="0.25">
      <c r="C86" s="26"/>
      <c r="D86" s="18"/>
      <c r="E86" s="27">
        <f t="shared" si="17"/>
        <v>0</v>
      </c>
      <c r="F86" s="27">
        <v>0</v>
      </c>
      <c r="G86" s="27" t="e">
        <f t="shared" si="15"/>
        <v>#DIV/0!</v>
      </c>
      <c r="I86" s="18"/>
      <c r="J86" s="18"/>
      <c r="K86" s="27">
        <v>0</v>
      </c>
      <c r="L86" s="26"/>
      <c r="M86" s="27" t="e">
        <f t="shared" si="14"/>
        <v>#DIV/0!</v>
      </c>
      <c r="P86" s="18"/>
      <c r="Q86" s="18"/>
      <c r="R86" s="27">
        <v>0</v>
      </c>
      <c r="S86" s="27">
        <f t="shared" si="12"/>
        <v>0</v>
      </c>
      <c r="U86" s="18"/>
      <c r="V86" s="18"/>
      <c r="W86" s="18"/>
      <c r="X86" s="27">
        <v>0</v>
      </c>
      <c r="Y86" s="27">
        <f t="shared" si="13"/>
        <v>0</v>
      </c>
      <c r="AA86" s="18"/>
      <c r="AB86" s="18"/>
      <c r="AC86" s="27">
        <v>0</v>
      </c>
      <c r="AD86" s="27">
        <f>AA86*AC86</f>
        <v>0</v>
      </c>
      <c r="AG86" s="21" t="s">
        <v>71</v>
      </c>
      <c r="AH86" s="27">
        <v>0</v>
      </c>
      <c r="AI86" s="18"/>
    </row>
    <row r="87" spans="3:35" x14ac:dyDescent="0.25">
      <c r="C87" s="18" t="s">
        <v>59</v>
      </c>
      <c r="D87" s="18"/>
      <c r="E87" s="57">
        <f>SUM(E69:E86)</f>
        <v>110</v>
      </c>
      <c r="F87" s="18"/>
      <c r="G87" s="18"/>
      <c r="I87" s="18" t="s">
        <v>59</v>
      </c>
      <c r="J87" s="18"/>
      <c r="K87" s="22">
        <f>SUM(K69:K86)</f>
        <v>0</v>
      </c>
      <c r="L87" s="26"/>
      <c r="M87" s="18"/>
      <c r="P87" s="83" t="s">
        <v>27</v>
      </c>
      <c r="Q87" s="84"/>
      <c r="R87" s="85"/>
      <c r="S87" s="58">
        <f>SUM(S69:S86)</f>
        <v>428</v>
      </c>
      <c r="U87" s="83" t="s">
        <v>27</v>
      </c>
      <c r="V87" s="84"/>
      <c r="W87" s="84"/>
      <c r="X87" s="85"/>
      <c r="Y87" s="58">
        <f>SUM(Y69:Y86)</f>
        <v>46</v>
      </c>
      <c r="AA87" s="18"/>
      <c r="AB87" s="18"/>
      <c r="AC87" s="27">
        <v>0</v>
      </c>
      <c r="AD87" s="27">
        <f>SUM(AD83:AD86)</f>
        <v>0</v>
      </c>
      <c r="AG87" s="18" t="s">
        <v>72</v>
      </c>
      <c r="AH87" s="27">
        <v>0</v>
      </c>
      <c r="AI87" s="18"/>
    </row>
    <row r="88" spans="3:35" x14ac:dyDescent="0.25">
      <c r="AG88" s="60" t="s">
        <v>73</v>
      </c>
      <c r="AH88" s="61">
        <f>AH68-AH69-AH70-AH71-AH72-AH73-AH74-AH75-AH76-AH77-AH78-AH79-AH80-AH81-AH82-AH83-AH84-AH85-AH86-AH87</f>
        <v>4314.5</v>
      </c>
      <c r="AI88" s="60"/>
    </row>
    <row r="92" spans="3:35" x14ac:dyDescent="0.25">
      <c r="C92" t="s">
        <v>114</v>
      </c>
      <c r="AA92" t="str">
        <f>C92</f>
        <v>FECHA:JUEVES 9 DE ABRIL</v>
      </c>
    </row>
    <row r="93" spans="3:35" x14ac:dyDescent="0.25">
      <c r="C93" s="43" t="s">
        <v>76</v>
      </c>
      <c r="D93" s="65"/>
      <c r="P93" s="18" t="str">
        <f>C92</f>
        <v>FECHA:JUEVES 9 DE ABRIL</v>
      </c>
      <c r="U93" s="18" t="str">
        <f>P93</f>
        <v>FECHA:JUEVES 9 DE ABRIL</v>
      </c>
      <c r="AA93" s="24" t="s">
        <v>3</v>
      </c>
      <c r="AB93" s="25"/>
      <c r="AG93" s="66" t="str">
        <f>AA92</f>
        <v>FECHA:JUEVES 9 DE ABRIL</v>
      </c>
    </row>
    <row r="94" spans="3:35" x14ac:dyDescent="0.25">
      <c r="C94" s="74" t="s">
        <v>7</v>
      </c>
      <c r="D94" s="75"/>
      <c r="E94" s="75"/>
      <c r="F94" s="75"/>
      <c r="G94" s="76"/>
      <c r="I94" s="77" t="s">
        <v>8</v>
      </c>
      <c r="J94" s="78"/>
      <c r="K94" s="78"/>
      <c r="L94" s="78"/>
      <c r="M94" s="79"/>
      <c r="P94" s="74" t="s">
        <v>9</v>
      </c>
      <c r="Q94" s="75"/>
      <c r="R94" s="75"/>
      <c r="S94" s="76"/>
      <c r="U94" s="80" t="s">
        <v>77</v>
      </c>
      <c r="V94" s="81"/>
      <c r="W94" s="81"/>
      <c r="X94" s="81"/>
      <c r="Y94" s="82"/>
      <c r="AA94" s="10" t="s">
        <v>11</v>
      </c>
      <c r="AB94" s="11" t="s">
        <v>12</v>
      </c>
      <c r="AC94" s="12" t="s">
        <v>13</v>
      </c>
      <c r="AD94" s="13" t="s">
        <v>14</v>
      </c>
      <c r="AG94" s="14" t="s">
        <v>15</v>
      </c>
      <c r="AH94" s="15" t="s">
        <v>16</v>
      </c>
      <c r="AI94" s="16" t="s">
        <v>17</v>
      </c>
    </row>
    <row r="95" spans="3:35" x14ac:dyDescent="0.25">
      <c r="C95" s="18" t="s">
        <v>19</v>
      </c>
      <c r="D95" s="18" t="s">
        <v>20</v>
      </c>
      <c r="E95" s="18" t="s">
        <v>21</v>
      </c>
      <c r="F95" s="18" t="s">
        <v>22</v>
      </c>
      <c r="G95" s="18" t="s">
        <v>23</v>
      </c>
      <c r="I95" s="18" t="s">
        <v>19</v>
      </c>
      <c r="J95" s="18" t="s">
        <v>20</v>
      </c>
      <c r="K95" s="18" t="s">
        <v>21</v>
      </c>
      <c r="L95" s="18" t="s">
        <v>22</v>
      </c>
      <c r="M95" s="18" t="s">
        <v>23</v>
      </c>
      <c r="P95" s="18" t="s">
        <v>24</v>
      </c>
      <c r="Q95" s="18" t="s">
        <v>25</v>
      </c>
      <c r="R95" s="18" t="s">
        <v>26</v>
      </c>
      <c r="S95" s="18" t="s">
        <v>27</v>
      </c>
      <c r="U95" s="18" t="s">
        <v>24</v>
      </c>
      <c r="V95" s="18" t="s">
        <v>25</v>
      </c>
      <c r="W95" s="18"/>
      <c r="X95" s="18" t="s">
        <v>26</v>
      </c>
      <c r="Y95" s="18" t="s">
        <v>27</v>
      </c>
      <c r="AA95" s="13" t="s">
        <v>51</v>
      </c>
      <c r="AB95" s="19">
        <v>3190</v>
      </c>
      <c r="AC95" s="20">
        <v>2686</v>
      </c>
      <c r="AD95" s="19">
        <f>AB95+AC95</f>
        <v>5876</v>
      </c>
      <c r="AG95" s="21" t="s">
        <v>29</v>
      </c>
      <c r="AH95" s="22">
        <f>AD95</f>
        <v>5876</v>
      </c>
      <c r="AI95" s="18"/>
    </row>
    <row r="96" spans="3:35" x14ac:dyDescent="0.25">
      <c r="C96" s="26">
        <v>2</v>
      </c>
      <c r="D96" s="18" t="s">
        <v>115</v>
      </c>
      <c r="E96" s="27">
        <v>132</v>
      </c>
      <c r="F96" s="27">
        <v>2</v>
      </c>
      <c r="G96" s="27">
        <f>E96/F96</f>
        <v>66</v>
      </c>
      <c r="I96" s="18">
        <v>1</v>
      </c>
      <c r="J96" s="18" t="s">
        <v>116</v>
      </c>
      <c r="K96" s="27">
        <v>79</v>
      </c>
      <c r="L96" s="28"/>
      <c r="M96" s="27" t="e">
        <f>K96/L96</f>
        <v>#DIV/0!</v>
      </c>
      <c r="P96" s="18">
        <v>3</v>
      </c>
      <c r="Q96" s="18" t="s">
        <v>117</v>
      </c>
      <c r="R96" s="27">
        <v>14</v>
      </c>
      <c r="S96" s="27">
        <f t="shared" ref="S96:S113" si="18">P96*R96</f>
        <v>42</v>
      </c>
      <c r="U96" s="18">
        <v>3</v>
      </c>
      <c r="V96" s="18" t="s">
        <v>118</v>
      </c>
      <c r="W96" s="18"/>
      <c r="X96" s="27">
        <v>17.5</v>
      </c>
      <c r="Y96" s="27">
        <f t="shared" ref="Y96:Y113" si="19">U96*X96</f>
        <v>52.5</v>
      </c>
      <c r="AG96" s="18" t="s">
        <v>9</v>
      </c>
      <c r="AH96" s="22">
        <f>S114</f>
        <v>173.5</v>
      </c>
      <c r="AI96" s="18"/>
    </row>
    <row r="97" spans="3:35" x14ac:dyDescent="0.25">
      <c r="C97" s="26">
        <v>1</v>
      </c>
      <c r="D97" s="18" t="s">
        <v>119</v>
      </c>
      <c r="E97" s="27">
        <v>70</v>
      </c>
      <c r="F97" s="27">
        <v>5</v>
      </c>
      <c r="G97" s="27">
        <f>E97/F97</f>
        <v>14</v>
      </c>
      <c r="I97" s="18"/>
      <c r="J97" s="18"/>
      <c r="K97" s="27">
        <v>0</v>
      </c>
      <c r="L97" s="28"/>
      <c r="M97" s="27" t="e">
        <f t="shared" ref="M97:M113" si="20">K97/L97</f>
        <v>#DIV/0!</v>
      </c>
      <c r="P97" s="18">
        <v>2</v>
      </c>
      <c r="Q97" s="18" t="s">
        <v>104</v>
      </c>
      <c r="R97" s="27">
        <v>17</v>
      </c>
      <c r="S97" s="27">
        <f t="shared" si="18"/>
        <v>34</v>
      </c>
      <c r="U97" s="18">
        <v>1</v>
      </c>
      <c r="V97" s="18" t="s">
        <v>49</v>
      </c>
      <c r="W97" s="18"/>
      <c r="X97" s="27">
        <v>17</v>
      </c>
      <c r="Y97" s="27">
        <f t="shared" si="19"/>
        <v>17</v>
      </c>
      <c r="AA97" s="35" t="s">
        <v>38</v>
      </c>
      <c r="AB97" s="36"/>
      <c r="AG97" s="21" t="s">
        <v>10</v>
      </c>
      <c r="AH97" s="22">
        <f>Y114</f>
        <v>69.5</v>
      </c>
      <c r="AI97" s="18"/>
    </row>
    <row r="98" spans="3:35" x14ac:dyDescent="0.25">
      <c r="C98" s="26">
        <v>1</v>
      </c>
      <c r="D98" s="18" t="s">
        <v>120</v>
      </c>
      <c r="E98" s="27">
        <v>172</v>
      </c>
      <c r="F98" s="27">
        <v>1</v>
      </c>
      <c r="G98" s="27">
        <f t="shared" ref="G98:G113" si="21">E98/F98</f>
        <v>172</v>
      </c>
      <c r="I98" s="18"/>
      <c r="J98" s="18"/>
      <c r="K98" s="27">
        <v>0</v>
      </c>
      <c r="L98" s="26"/>
      <c r="M98" s="27" t="e">
        <f t="shared" si="20"/>
        <v>#DIV/0!</v>
      </c>
      <c r="P98" s="18">
        <v>2</v>
      </c>
      <c r="Q98" s="18" t="s">
        <v>121</v>
      </c>
      <c r="R98" s="27">
        <v>17</v>
      </c>
      <c r="S98" s="27">
        <f t="shared" si="18"/>
        <v>34</v>
      </c>
      <c r="U98" s="18"/>
      <c r="V98" s="18"/>
      <c r="W98" s="18"/>
      <c r="X98" s="27">
        <v>0</v>
      </c>
      <c r="Y98" s="27">
        <f t="shared" si="19"/>
        <v>0</v>
      </c>
      <c r="AA98" s="18" t="s">
        <v>24</v>
      </c>
      <c r="AB98" s="18" t="s">
        <v>25</v>
      </c>
      <c r="AC98" s="18" t="s">
        <v>26</v>
      </c>
      <c r="AD98" s="18" t="s">
        <v>27</v>
      </c>
      <c r="AG98" s="18" t="s">
        <v>42</v>
      </c>
      <c r="AH98" s="22">
        <f>E114</f>
        <v>4941.4799999999996</v>
      </c>
      <c r="AI98" s="18"/>
    </row>
    <row r="99" spans="3:35" x14ac:dyDescent="0.25">
      <c r="C99" s="26">
        <v>1</v>
      </c>
      <c r="D99" s="18" t="s">
        <v>122</v>
      </c>
      <c r="E99" s="27">
        <v>310</v>
      </c>
      <c r="F99" s="27">
        <v>10</v>
      </c>
      <c r="G99" s="27">
        <f t="shared" si="21"/>
        <v>31</v>
      </c>
      <c r="I99" s="18"/>
      <c r="J99" s="18"/>
      <c r="K99" s="27">
        <v>0</v>
      </c>
      <c r="L99" s="26"/>
      <c r="M99" s="27" t="e">
        <f t="shared" si="20"/>
        <v>#DIV/0!</v>
      </c>
      <c r="P99" s="18">
        <v>1</v>
      </c>
      <c r="Q99" s="18" t="s">
        <v>85</v>
      </c>
      <c r="R99" s="27">
        <v>15</v>
      </c>
      <c r="S99" s="27">
        <f t="shared" si="18"/>
        <v>15</v>
      </c>
      <c r="U99" s="18"/>
      <c r="V99" s="18"/>
      <c r="W99" s="18"/>
      <c r="X99" s="27">
        <v>0</v>
      </c>
      <c r="Y99" s="27">
        <f t="shared" si="19"/>
        <v>0</v>
      </c>
      <c r="AA99" s="18"/>
      <c r="AB99" s="18"/>
      <c r="AC99" s="27">
        <v>0</v>
      </c>
      <c r="AD99" s="27">
        <f t="shared" ref="AD99:AD104" si="22">AA99*AC99</f>
        <v>0</v>
      </c>
      <c r="AG99" s="21" t="s">
        <v>46</v>
      </c>
      <c r="AH99" s="22">
        <f>K114</f>
        <v>79</v>
      </c>
      <c r="AI99" s="18"/>
    </row>
    <row r="100" spans="3:35" x14ac:dyDescent="0.25">
      <c r="C100" s="26">
        <v>10</v>
      </c>
      <c r="D100" s="18" t="s">
        <v>123</v>
      </c>
      <c r="E100" s="27">
        <v>1853.6</v>
      </c>
      <c r="F100" s="27">
        <v>10</v>
      </c>
      <c r="G100" s="27">
        <f t="shared" si="21"/>
        <v>185.35999999999999</v>
      </c>
      <c r="I100" s="18"/>
      <c r="J100" s="18"/>
      <c r="K100" s="27">
        <v>0</v>
      </c>
      <c r="L100" s="26"/>
      <c r="M100" s="27" t="e">
        <f t="shared" si="20"/>
        <v>#DIV/0!</v>
      </c>
      <c r="P100" s="18">
        <v>1</v>
      </c>
      <c r="Q100" s="18" t="s">
        <v>105</v>
      </c>
      <c r="R100" s="27">
        <v>17</v>
      </c>
      <c r="S100" s="27">
        <f t="shared" si="18"/>
        <v>17</v>
      </c>
      <c r="U100" s="18"/>
      <c r="V100" s="18"/>
      <c r="W100" s="18"/>
      <c r="X100" s="27">
        <v>0</v>
      </c>
      <c r="Y100" s="27">
        <f t="shared" si="19"/>
        <v>0</v>
      </c>
      <c r="AA100" s="18"/>
      <c r="AB100" s="18"/>
      <c r="AC100" s="27">
        <v>0</v>
      </c>
      <c r="AD100" s="27">
        <f t="shared" si="22"/>
        <v>0</v>
      </c>
      <c r="AG100" s="18" t="s">
        <v>50</v>
      </c>
      <c r="AH100" s="27">
        <v>0</v>
      </c>
      <c r="AI100" s="18"/>
    </row>
    <row r="101" spans="3:35" x14ac:dyDescent="0.25">
      <c r="C101" s="26">
        <v>2</v>
      </c>
      <c r="D101" s="18" t="s">
        <v>124</v>
      </c>
      <c r="E101" s="27">
        <v>846.4</v>
      </c>
      <c r="F101" s="27">
        <v>20</v>
      </c>
      <c r="G101" s="27">
        <f t="shared" si="21"/>
        <v>42.32</v>
      </c>
      <c r="I101" s="18"/>
      <c r="J101" s="18"/>
      <c r="K101" s="27">
        <v>0</v>
      </c>
      <c r="L101" s="26"/>
      <c r="M101" s="27" t="e">
        <f t="shared" si="20"/>
        <v>#DIV/0!</v>
      </c>
      <c r="P101" s="18">
        <v>2</v>
      </c>
      <c r="Q101" s="18" t="s">
        <v>125</v>
      </c>
      <c r="R101" s="27">
        <v>14</v>
      </c>
      <c r="S101" s="27">
        <f t="shared" si="18"/>
        <v>28</v>
      </c>
      <c r="U101" s="18"/>
      <c r="V101" s="18"/>
      <c r="W101" s="18"/>
      <c r="X101" s="27">
        <v>0</v>
      </c>
      <c r="Y101" s="27">
        <f t="shared" si="19"/>
        <v>0</v>
      </c>
      <c r="AA101" s="18"/>
      <c r="AB101" s="18"/>
      <c r="AC101" s="27">
        <v>0</v>
      </c>
      <c r="AD101" s="27">
        <f t="shared" si="22"/>
        <v>0</v>
      </c>
      <c r="AG101" s="21" t="s">
        <v>52</v>
      </c>
      <c r="AH101" s="27">
        <v>0</v>
      </c>
      <c r="AI101" s="18"/>
    </row>
    <row r="102" spans="3:35" x14ac:dyDescent="0.25">
      <c r="C102" s="26">
        <v>2</v>
      </c>
      <c r="D102" s="18" t="s">
        <v>126</v>
      </c>
      <c r="E102" s="27">
        <v>846.4</v>
      </c>
      <c r="F102" s="27">
        <v>20</v>
      </c>
      <c r="G102" s="27">
        <f t="shared" si="21"/>
        <v>42.32</v>
      </c>
      <c r="I102" s="18"/>
      <c r="J102" s="18"/>
      <c r="K102" s="27">
        <v>0</v>
      </c>
      <c r="L102" s="26"/>
      <c r="M102" s="27" t="e">
        <f t="shared" si="20"/>
        <v>#DIV/0!</v>
      </c>
      <c r="P102" s="18">
        <v>1</v>
      </c>
      <c r="Q102" s="18" t="s">
        <v>127</v>
      </c>
      <c r="R102" s="27">
        <v>3.5</v>
      </c>
      <c r="S102" s="27">
        <f t="shared" si="18"/>
        <v>3.5</v>
      </c>
      <c r="U102" s="18"/>
      <c r="V102" s="18"/>
      <c r="W102" s="18"/>
      <c r="X102" s="27">
        <v>0</v>
      </c>
      <c r="Y102" s="27">
        <f t="shared" si="19"/>
        <v>0</v>
      </c>
      <c r="AA102" s="18"/>
      <c r="AB102" s="18"/>
      <c r="AC102" s="27">
        <v>0</v>
      </c>
      <c r="AD102" s="27">
        <f t="shared" si="22"/>
        <v>0</v>
      </c>
      <c r="AG102" s="18" t="s">
        <v>54</v>
      </c>
      <c r="AH102" s="27">
        <v>0</v>
      </c>
      <c r="AI102" s="18"/>
    </row>
    <row r="103" spans="3:35" x14ac:dyDescent="0.25">
      <c r="C103" s="26">
        <v>12</v>
      </c>
      <c r="D103" s="18" t="s">
        <v>128</v>
      </c>
      <c r="E103" s="27">
        <v>284.88</v>
      </c>
      <c r="F103" s="27">
        <v>12</v>
      </c>
      <c r="G103" s="27">
        <f t="shared" si="21"/>
        <v>23.74</v>
      </c>
      <c r="I103" s="18"/>
      <c r="J103" s="18"/>
      <c r="K103" s="27">
        <v>0</v>
      </c>
      <c r="L103" s="26"/>
      <c r="M103" s="27" t="e">
        <f t="shared" si="20"/>
        <v>#DIV/0!</v>
      </c>
      <c r="P103" s="18"/>
      <c r="Q103" s="18"/>
      <c r="R103" s="27">
        <v>0</v>
      </c>
      <c r="S103" s="27">
        <f t="shared" si="18"/>
        <v>0</v>
      </c>
      <c r="U103" s="18"/>
      <c r="V103" s="18"/>
      <c r="W103" s="18"/>
      <c r="X103" s="27">
        <v>0</v>
      </c>
      <c r="Y103" s="27">
        <f t="shared" si="19"/>
        <v>0</v>
      </c>
      <c r="AA103" s="18"/>
      <c r="AB103" s="18"/>
      <c r="AC103" s="27">
        <v>0</v>
      </c>
      <c r="AD103" s="27">
        <f t="shared" si="22"/>
        <v>0</v>
      </c>
      <c r="AG103" s="21" t="s">
        <v>56</v>
      </c>
      <c r="AH103" s="27">
        <v>60</v>
      </c>
      <c r="AI103" s="18"/>
    </row>
    <row r="104" spans="3:35" x14ac:dyDescent="0.25">
      <c r="C104" s="26">
        <v>2</v>
      </c>
      <c r="D104" s="18" t="s">
        <v>129</v>
      </c>
      <c r="E104" s="27">
        <v>426.2</v>
      </c>
      <c r="F104" s="27">
        <v>2</v>
      </c>
      <c r="G104" s="27">
        <f t="shared" si="21"/>
        <v>213.1</v>
      </c>
      <c r="I104" s="18"/>
      <c r="J104" s="18"/>
      <c r="K104" s="27">
        <v>0</v>
      </c>
      <c r="L104" s="26"/>
      <c r="M104" s="27" t="e">
        <f t="shared" si="20"/>
        <v>#DIV/0!</v>
      </c>
      <c r="P104" s="18"/>
      <c r="Q104" s="18"/>
      <c r="R104" s="27">
        <v>0</v>
      </c>
      <c r="S104" s="27">
        <f t="shared" si="18"/>
        <v>0</v>
      </c>
      <c r="U104" s="18"/>
      <c r="V104" s="18"/>
      <c r="W104" s="18"/>
      <c r="X104" s="27">
        <v>0</v>
      </c>
      <c r="Y104" s="27">
        <f t="shared" si="19"/>
        <v>0</v>
      </c>
      <c r="AA104" s="18"/>
      <c r="AB104" s="18"/>
      <c r="AC104" s="27">
        <v>0</v>
      </c>
      <c r="AD104" s="27">
        <f t="shared" si="22"/>
        <v>0</v>
      </c>
      <c r="AG104" s="18" t="s">
        <v>58</v>
      </c>
      <c r="AH104" s="27">
        <v>0</v>
      </c>
      <c r="AI104" s="18"/>
    </row>
    <row r="105" spans="3:35" x14ac:dyDescent="0.25">
      <c r="C105" s="26"/>
      <c r="D105" s="18"/>
      <c r="E105" s="27">
        <v>0</v>
      </c>
      <c r="F105" s="27">
        <v>0</v>
      </c>
      <c r="G105" s="27" t="e">
        <f t="shared" si="21"/>
        <v>#DIV/0!</v>
      </c>
      <c r="I105" s="18"/>
      <c r="J105" s="18"/>
      <c r="K105" s="27">
        <v>0</v>
      </c>
      <c r="L105" s="26"/>
      <c r="M105" s="27" t="e">
        <f t="shared" si="20"/>
        <v>#DIV/0!</v>
      </c>
      <c r="P105" s="18"/>
      <c r="Q105" s="18"/>
      <c r="R105" s="27">
        <v>0</v>
      </c>
      <c r="S105" s="27">
        <f t="shared" si="18"/>
        <v>0</v>
      </c>
      <c r="U105" s="18"/>
      <c r="V105" s="18"/>
      <c r="W105" s="18"/>
      <c r="X105" s="27">
        <v>0</v>
      </c>
      <c r="Y105" s="27">
        <f t="shared" si="19"/>
        <v>0</v>
      </c>
      <c r="AA105" s="18" t="s">
        <v>59</v>
      </c>
      <c r="AB105" s="18"/>
      <c r="AC105" s="27"/>
      <c r="AD105" s="19">
        <f>SUM(AD99:AD104)</f>
        <v>0</v>
      </c>
      <c r="AG105" s="21" t="s">
        <v>60</v>
      </c>
      <c r="AH105" s="27">
        <v>794</v>
      </c>
      <c r="AI105" s="18"/>
    </row>
    <row r="106" spans="3:35" x14ac:dyDescent="0.25">
      <c r="C106" s="26"/>
      <c r="D106" s="18"/>
      <c r="E106" s="27">
        <v>0</v>
      </c>
      <c r="F106" s="27">
        <v>0</v>
      </c>
      <c r="G106" s="27" t="e">
        <f t="shared" si="21"/>
        <v>#DIV/0!</v>
      </c>
      <c r="I106" s="18"/>
      <c r="J106" s="18"/>
      <c r="K106" s="27">
        <v>0</v>
      </c>
      <c r="L106" s="26"/>
      <c r="M106" s="27" t="e">
        <f t="shared" si="20"/>
        <v>#DIV/0!</v>
      </c>
      <c r="P106" s="18"/>
      <c r="Q106" s="18"/>
      <c r="R106" s="27">
        <v>0</v>
      </c>
      <c r="S106" s="27">
        <f t="shared" si="18"/>
        <v>0</v>
      </c>
      <c r="U106" s="18"/>
      <c r="V106" s="18"/>
      <c r="W106" s="18"/>
      <c r="X106" s="27">
        <v>0</v>
      </c>
      <c r="Y106" s="27">
        <f t="shared" si="19"/>
        <v>0</v>
      </c>
      <c r="AA106" s="46"/>
      <c r="AB106" s="46"/>
      <c r="AC106" s="47"/>
      <c r="AD106" s="47"/>
      <c r="AG106" s="18" t="s">
        <v>61</v>
      </c>
      <c r="AH106" s="27">
        <v>93</v>
      </c>
      <c r="AI106" s="18"/>
    </row>
    <row r="107" spans="3:35" x14ac:dyDescent="0.25">
      <c r="C107" s="26"/>
      <c r="D107" s="18"/>
      <c r="E107" s="27">
        <v>0</v>
      </c>
      <c r="F107" s="27">
        <v>0</v>
      </c>
      <c r="G107" s="27" t="e">
        <f t="shared" si="21"/>
        <v>#DIV/0!</v>
      </c>
      <c r="I107" s="18"/>
      <c r="J107" s="18"/>
      <c r="K107" s="27">
        <v>0</v>
      </c>
      <c r="L107" s="26"/>
      <c r="M107" s="27" t="e">
        <f t="shared" si="20"/>
        <v>#DIV/0!</v>
      </c>
      <c r="P107" s="18"/>
      <c r="Q107" s="18"/>
      <c r="R107" s="27">
        <v>0</v>
      </c>
      <c r="S107" s="27">
        <f t="shared" si="18"/>
        <v>0</v>
      </c>
      <c r="U107" s="18"/>
      <c r="V107" s="18"/>
      <c r="W107" s="18"/>
      <c r="X107" s="27">
        <v>0</v>
      </c>
      <c r="Y107" s="27">
        <f t="shared" si="19"/>
        <v>0</v>
      </c>
      <c r="AA107" s="46"/>
      <c r="AB107" s="46"/>
      <c r="AC107" s="47"/>
      <c r="AD107" s="47"/>
      <c r="AG107" s="21" t="s">
        <v>62</v>
      </c>
      <c r="AH107" s="27">
        <v>0</v>
      </c>
      <c r="AI107" s="18"/>
    </row>
    <row r="108" spans="3:35" x14ac:dyDescent="0.25">
      <c r="C108" s="26"/>
      <c r="D108" s="18"/>
      <c r="E108" s="27">
        <f t="shared" ref="E108:E113" si="23">SUM(X108:Z108)</f>
        <v>0</v>
      </c>
      <c r="F108" s="27">
        <v>0</v>
      </c>
      <c r="G108" s="27" t="e">
        <f t="shared" si="21"/>
        <v>#DIV/0!</v>
      </c>
      <c r="I108" s="18"/>
      <c r="J108" s="18"/>
      <c r="K108" s="27">
        <v>0</v>
      </c>
      <c r="L108" s="26"/>
      <c r="M108" s="27" t="e">
        <f t="shared" si="20"/>
        <v>#DIV/0!</v>
      </c>
      <c r="P108" s="18"/>
      <c r="Q108" s="18"/>
      <c r="R108" s="27">
        <v>0</v>
      </c>
      <c r="S108" s="27">
        <f t="shared" si="18"/>
        <v>0</v>
      </c>
      <c r="U108" s="18"/>
      <c r="V108" s="18"/>
      <c r="W108" s="18"/>
      <c r="X108" s="27">
        <v>0</v>
      </c>
      <c r="Y108" s="27">
        <f t="shared" si="19"/>
        <v>0</v>
      </c>
      <c r="AA108" s="48" t="s">
        <v>64</v>
      </c>
      <c r="AB108" s="49"/>
      <c r="AC108" s="49"/>
      <c r="AG108" s="18" t="s">
        <v>65</v>
      </c>
      <c r="AH108" s="27">
        <v>0</v>
      </c>
      <c r="AI108" s="18"/>
    </row>
    <row r="109" spans="3:35" x14ac:dyDescent="0.25">
      <c r="C109" s="26"/>
      <c r="D109" s="18"/>
      <c r="E109" s="27">
        <f t="shared" si="23"/>
        <v>0</v>
      </c>
      <c r="F109" s="27">
        <v>0</v>
      </c>
      <c r="G109" s="27" t="e">
        <f t="shared" si="21"/>
        <v>#DIV/0!</v>
      </c>
      <c r="I109" s="18"/>
      <c r="J109" s="18"/>
      <c r="K109" s="27">
        <v>0</v>
      </c>
      <c r="L109" s="26"/>
      <c r="M109" s="27" t="e">
        <f t="shared" si="20"/>
        <v>#DIV/0!</v>
      </c>
      <c r="P109" s="18"/>
      <c r="Q109" s="18"/>
      <c r="R109" s="27">
        <v>0</v>
      </c>
      <c r="S109" s="27">
        <f t="shared" si="18"/>
        <v>0</v>
      </c>
      <c r="U109" s="18"/>
      <c r="V109" s="18"/>
      <c r="W109" s="18"/>
      <c r="X109" s="27">
        <v>0</v>
      </c>
      <c r="Y109" s="27">
        <f t="shared" si="19"/>
        <v>0</v>
      </c>
      <c r="AA109" s="18" t="s">
        <v>24</v>
      </c>
      <c r="AB109" s="18" t="s">
        <v>25</v>
      </c>
      <c r="AC109" s="18" t="s">
        <v>26</v>
      </c>
      <c r="AD109" s="18" t="s">
        <v>27</v>
      </c>
      <c r="AG109" s="21" t="s">
        <v>67</v>
      </c>
      <c r="AH109" s="27">
        <v>0</v>
      </c>
      <c r="AI109" s="18"/>
    </row>
    <row r="110" spans="3:35" x14ac:dyDescent="0.25">
      <c r="C110" s="26"/>
      <c r="D110" s="18"/>
      <c r="E110" s="27">
        <f t="shared" si="23"/>
        <v>0</v>
      </c>
      <c r="F110" s="27">
        <v>0</v>
      </c>
      <c r="G110" s="27" t="e">
        <f t="shared" si="21"/>
        <v>#DIV/0!</v>
      </c>
      <c r="I110" s="18"/>
      <c r="J110" s="18"/>
      <c r="K110" s="27">
        <v>0</v>
      </c>
      <c r="L110" s="26"/>
      <c r="M110" s="27" t="e">
        <f t="shared" si="20"/>
        <v>#DIV/0!</v>
      </c>
      <c r="P110" s="18"/>
      <c r="Q110" s="18"/>
      <c r="R110" s="27">
        <v>0</v>
      </c>
      <c r="S110" s="27">
        <f t="shared" si="18"/>
        <v>0</v>
      </c>
      <c r="U110" s="18"/>
      <c r="V110" s="18"/>
      <c r="W110" s="18"/>
      <c r="X110" s="27">
        <v>0</v>
      </c>
      <c r="Y110" s="27">
        <f t="shared" si="19"/>
        <v>0</v>
      </c>
      <c r="AA110" s="18"/>
      <c r="AB110" s="18"/>
      <c r="AC110" s="27"/>
      <c r="AD110" s="27">
        <f>AA110*AC110</f>
        <v>0</v>
      </c>
      <c r="AG110" s="18" t="s">
        <v>68</v>
      </c>
      <c r="AH110" s="27">
        <v>0</v>
      </c>
      <c r="AI110" s="18"/>
    </row>
    <row r="111" spans="3:35" x14ac:dyDescent="0.25">
      <c r="C111" s="26"/>
      <c r="D111" s="18"/>
      <c r="E111" s="27">
        <f t="shared" si="23"/>
        <v>0</v>
      </c>
      <c r="F111" s="27">
        <v>0</v>
      </c>
      <c r="G111" s="27" t="e">
        <f t="shared" si="21"/>
        <v>#DIV/0!</v>
      </c>
      <c r="I111" s="18"/>
      <c r="J111" s="18"/>
      <c r="K111" s="27">
        <v>0</v>
      </c>
      <c r="L111" s="26"/>
      <c r="M111" s="27" t="e">
        <f t="shared" si="20"/>
        <v>#DIV/0!</v>
      </c>
      <c r="P111" s="18"/>
      <c r="Q111" s="18"/>
      <c r="R111" s="27">
        <v>0</v>
      </c>
      <c r="S111" s="27">
        <f t="shared" si="18"/>
        <v>0</v>
      </c>
      <c r="U111" s="18"/>
      <c r="V111" s="18"/>
      <c r="W111" s="18"/>
      <c r="X111" s="27">
        <v>0</v>
      </c>
      <c r="Y111" s="27">
        <f t="shared" si="19"/>
        <v>0</v>
      </c>
      <c r="AA111" s="18"/>
      <c r="AB111" s="18"/>
      <c r="AC111" s="27">
        <v>0</v>
      </c>
      <c r="AD111" s="27">
        <f>AA111*AC111</f>
        <v>0</v>
      </c>
      <c r="AG111" s="21" t="s">
        <v>69</v>
      </c>
      <c r="AH111" s="55">
        <f>AD105</f>
        <v>0</v>
      </c>
      <c r="AI111" s="18"/>
    </row>
    <row r="112" spans="3:35" x14ac:dyDescent="0.25">
      <c r="C112" s="26"/>
      <c r="D112" s="18"/>
      <c r="E112" s="27">
        <f t="shared" si="23"/>
        <v>0</v>
      </c>
      <c r="F112" s="27">
        <v>0</v>
      </c>
      <c r="G112" s="27" t="e">
        <f t="shared" si="21"/>
        <v>#DIV/0!</v>
      </c>
      <c r="I112" s="18"/>
      <c r="J112" s="18"/>
      <c r="K112" s="27">
        <v>0</v>
      </c>
      <c r="L112" s="26"/>
      <c r="M112" s="27" t="e">
        <f t="shared" si="20"/>
        <v>#DIV/0!</v>
      </c>
      <c r="P112" s="18"/>
      <c r="Q112" s="18"/>
      <c r="R112" s="27">
        <v>0</v>
      </c>
      <c r="S112" s="27">
        <f t="shared" si="18"/>
        <v>0</v>
      </c>
      <c r="U112" s="18"/>
      <c r="V112" s="18"/>
      <c r="W112" s="18"/>
      <c r="X112" s="27">
        <v>0</v>
      </c>
      <c r="Y112" s="27">
        <f t="shared" si="19"/>
        <v>0</v>
      </c>
      <c r="AA112" s="18"/>
      <c r="AB112" s="18"/>
      <c r="AC112" s="27">
        <v>0</v>
      </c>
      <c r="AD112" s="27">
        <f>AA112*AC112</f>
        <v>0</v>
      </c>
      <c r="AG112" s="56" t="s">
        <v>70</v>
      </c>
      <c r="AH112" s="55">
        <v>0</v>
      </c>
      <c r="AI112" s="18"/>
    </row>
    <row r="113" spans="3:35" x14ac:dyDescent="0.25">
      <c r="C113" s="26"/>
      <c r="D113" s="18"/>
      <c r="E113" s="27">
        <f t="shared" si="23"/>
        <v>0</v>
      </c>
      <c r="F113" s="27">
        <v>0</v>
      </c>
      <c r="G113" s="27" t="e">
        <f t="shared" si="21"/>
        <v>#DIV/0!</v>
      </c>
      <c r="I113" s="18"/>
      <c r="J113" s="18"/>
      <c r="K113" s="27">
        <v>0</v>
      </c>
      <c r="L113" s="26"/>
      <c r="M113" s="27" t="e">
        <f t="shared" si="20"/>
        <v>#DIV/0!</v>
      </c>
      <c r="P113" s="18"/>
      <c r="Q113" s="18"/>
      <c r="R113" s="27">
        <v>0</v>
      </c>
      <c r="S113" s="27">
        <f t="shared" si="18"/>
        <v>0</v>
      </c>
      <c r="U113" s="18"/>
      <c r="V113" s="18"/>
      <c r="W113" s="18"/>
      <c r="X113" s="27">
        <v>0</v>
      </c>
      <c r="Y113" s="27">
        <f t="shared" si="19"/>
        <v>0</v>
      </c>
      <c r="AA113" s="18"/>
      <c r="AB113" s="18"/>
      <c r="AC113" s="27">
        <v>0</v>
      </c>
      <c r="AD113" s="27">
        <f>AA113*AC113</f>
        <v>0</v>
      </c>
      <c r="AG113" s="21" t="s">
        <v>71</v>
      </c>
      <c r="AH113" s="27">
        <v>0</v>
      </c>
      <c r="AI113" s="18"/>
    </row>
    <row r="114" spans="3:35" x14ac:dyDescent="0.25">
      <c r="C114" s="18" t="s">
        <v>59</v>
      </c>
      <c r="D114" s="18"/>
      <c r="E114" s="57">
        <f>SUM(E96:E113)</f>
        <v>4941.4799999999996</v>
      </c>
      <c r="F114" s="18"/>
      <c r="G114" s="18"/>
      <c r="I114" s="18" t="s">
        <v>59</v>
      </c>
      <c r="J114" s="18"/>
      <c r="K114" s="22">
        <f>SUM(K96:K113)</f>
        <v>79</v>
      </c>
      <c r="L114" s="26"/>
      <c r="M114" s="18"/>
      <c r="P114" s="83" t="s">
        <v>27</v>
      </c>
      <c r="Q114" s="84"/>
      <c r="R114" s="85"/>
      <c r="S114" s="58">
        <f>SUM(S96:S113)</f>
        <v>173.5</v>
      </c>
      <c r="U114" s="83" t="s">
        <v>27</v>
      </c>
      <c r="V114" s="84"/>
      <c r="W114" s="84"/>
      <c r="X114" s="85"/>
      <c r="Y114" s="58">
        <f>SUM(Y96:Y113)</f>
        <v>69.5</v>
      </c>
      <c r="AA114" s="18"/>
      <c r="AB114" s="18"/>
      <c r="AC114" s="27">
        <v>0</v>
      </c>
      <c r="AD114" s="27">
        <f>SUM(AD110:AD113)</f>
        <v>0</v>
      </c>
      <c r="AG114" s="18" t="s">
        <v>72</v>
      </c>
      <c r="AH114" s="27">
        <v>0</v>
      </c>
      <c r="AI114" s="18"/>
    </row>
    <row r="115" spans="3:35" x14ac:dyDescent="0.25">
      <c r="AG115" s="60" t="s">
        <v>73</v>
      </c>
      <c r="AH115" s="61">
        <f>AH95-AH96-AH97-AH98-AH99-AH100-AH101-AH102-AH103-AH104-AH105-AH106-AH107-AH108-AH109-AH110-AH111-AH112-AH113-AH114</f>
        <v>-334.47999999999956</v>
      </c>
      <c r="AI115" s="60"/>
    </row>
    <row r="119" spans="3:35" x14ac:dyDescent="0.25">
      <c r="C119" t="s">
        <v>130</v>
      </c>
      <c r="AA119" t="str">
        <f>C119</f>
        <v>FECHA: VIERNES 10 DE ABRIL</v>
      </c>
    </row>
    <row r="120" spans="3:35" x14ac:dyDescent="0.25">
      <c r="C120" s="43" t="s">
        <v>76</v>
      </c>
      <c r="D120" s="65"/>
      <c r="P120" s="18" t="str">
        <f>C119</f>
        <v>FECHA: VIERNES 10 DE ABRIL</v>
      </c>
      <c r="U120" s="18" t="str">
        <f>P120</f>
        <v>FECHA: VIERNES 10 DE ABRIL</v>
      </c>
      <c r="AA120" s="24" t="s">
        <v>3</v>
      </c>
      <c r="AB120" s="25"/>
      <c r="AG120" s="66" t="str">
        <f>AA119</f>
        <v>FECHA: VIERNES 10 DE ABRIL</v>
      </c>
    </row>
    <row r="121" spans="3:35" x14ac:dyDescent="0.25">
      <c r="C121" s="74" t="s">
        <v>7</v>
      </c>
      <c r="D121" s="75"/>
      <c r="E121" s="75"/>
      <c r="F121" s="75"/>
      <c r="G121" s="76"/>
      <c r="I121" s="77" t="s">
        <v>8</v>
      </c>
      <c r="J121" s="78"/>
      <c r="K121" s="78"/>
      <c r="L121" s="78"/>
      <c r="M121" s="79"/>
      <c r="P121" s="74" t="s">
        <v>9</v>
      </c>
      <c r="Q121" s="75"/>
      <c r="R121" s="75"/>
      <c r="S121" s="76"/>
      <c r="U121" s="80" t="s">
        <v>77</v>
      </c>
      <c r="V121" s="81"/>
      <c r="W121" s="81"/>
      <c r="X121" s="81"/>
      <c r="Y121" s="82"/>
      <c r="AA121" s="10" t="s">
        <v>11</v>
      </c>
      <c r="AB121" s="11" t="s">
        <v>12</v>
      </c>
      <c r="AC121" s="12" t="s">
        <v>13</v>
      </c>
      <c r="AD121" s="13" t="s">
        <v>14</v>
      </c>
      <c r="AG121" s="14" t="s">
        <v>15</v>
      </c>
      <c r="AH121" s="15" t="s">
        <v>16</v>
      </c>
      <c r="AI121" s="16" t="s">
        <v>17</v>
      </c>
    </row>
    <row r="122" spans="3:35" x14ac:dyDescent="0.25">
      <c r="C122" s="18" t="s">
        <v>19</v>
      </c>
      <c r="D122" s="18" t="s">
        <v>20</v>
      </c>
      <c r="E122" s="18" t="s">
        <v>21</v>
      </c>
      <c r="F122" s="18" t="s">
        <v>22</v>
      </c>
      <c r="G122" s="18" t="s">
        <v>23</v>
      </c>
      <c r="I122" s="18" t="s">
        <v>19</v>
      </c>
      <c r="J122" s="18" t="s">
        <v>20</v>
      </c>
      <c r="K122" s="18" t="s">
        <v>21</v>
      </c>
      <c r="L122" s="18" t="s">
        <v>22</v>
      </c>
      <c r="M122" s="18" t="s">
        <v>23</v>
      </c>
      <c r="P122" s="18" t="s">
        <v>24</v>
      </c>
      <c r="Q122" s="18" t="s">
        <v>25</v>
      </c>
      <c r="R122" s="18" t="s">
        <v>26</v>
      </c>
      <c r="S122" s="18" t="s">
        <v>27</v>
      </c>
      <c r="U122" s="18" t="s">
        <v>24</v>
      </c>
      <c r="V122" s="18" t="s">
        <v>25</v>
      </c>
      <c r="W122" s="18"/>
      <c r="X122" s="18" t="s">
        <v>26</v>
      </c>
      <c r="Y122" s="18" t="s">
        <v>27</v>
      </c>
      <c r="AA122" s="13" t="s">
        <v>53</v>
      </c>
      <c r="AB122" s="19">
        <v>3221</v>
      </c>
      <c r="AC122" s="20">
        <v>4309</v>
      </c>
      <c r="AD122" s="19">
        <f>AB122+AC122</f>
        <v>7530</v>
      </c>
      <c r="AG122" s="21" t="s">
        <v>29</v>
      </c>
      <c r="AH122" s="22">
        <f>AD122</f>
        <v>7530</v>
      </c>
      <c r="AI122" s="18"/>
    </row>
    <row r="123" spans="3:35" x14ac:dyDescent="0.25">
      <c r="C123" s="26">
        <v>1</v>
      </c>
      <c r="D123" s="18" t="s">
        <v>131</v>
      </c>
      <c r="E123" s="27">
        <v>232</v>
      </c>
      <c r="F123" s="27">
        <v>1</v>
      </c>
      <c r="G123" s="27">
        <f>E123/F123</f>
        <v>232</v>
      </c>
      <c r="I123" s="18"/>
      <c r="J123" s="18"/>
      <c r="K123" s="27">
        <v>0</v>
      </c>
      <c r="L123" s="28"/>
      <c r="M123" s="27" t="e">
        <f>K123/L123</f>
        <v>#DIV/0!</v>
      </c>
      <c r="P123" s="18">
        <v>3</v>
      </c>
      <c r="Q123" s="18" t="s">
        <v>117</v>
      </c>
      <c r="R123" s="27">
        <v>14</v>
      </c>
      <c r="S123" s="27">
        <f t="shared" ref="S123:S140" si="24">P123*R123</f>
        <v>42</v>
      </c>
      <c r="U123" s="18">
        <v>1</v>
      </c>
      <c r="V123" s="18" t="s">
        <v>49</v>
      </c>
      <c r="W123" s="18"/>
      <c r="X123" s="27">
        <v>17</v>
      </c>
      <c r="Y123" s="27">
        <f t="shared" ref="Y123:Y140" si="25">U123*X123</f>
        <v>17</v>
      </c>
      <c r="AG123" s="18" t="s">
        <v>9</v>
      </c>
      <c r="AH123" s="22">
        <f>S141</f>
        <v>218.5</v>
      </c>
      <c r="AI123" s="18"/>
    </row>
    <row r="124" spans="3:35" x14ac:dyDescent="0.25">
      <c r="C124" s="26"/>
      <c r="D124" s="18"/>
      <c r="E124" s="27">
        <v>0</v>
      </c>
      <c r="F124" s="27">
        <v>0</v>
      </c>
      <c r="G124" s="27" t="e">
        <f>E124/F124</f>
        <v>#DIV/0!</v>
      </c>
      <c r="I124" s="18"/>
      <c r="J124" s="18"/>
      <c r="K124" s="27">
        <v>0</v>
      </c>
      <c r="L124" s="28"/>
      <c r="M124" s="27" t="e">
        <f t="shared" ref="M124:M140" si="26">K124/L124</f>
        <v>#DIV/0!</v>
      </c>
      <c r="P124" s="18">
        <v>2</v>
      </c>
      <c r="Q124" s="18" t="s">
        <v>92</v>
      </c>
      <c r="R124" s="27">
        <v>14</v>
      </c>
      <c r="S124" s="27">
        <f t="shared" si="24"/>
        <v>28</v>
      </c>
      <c r="U124" s="18"/>
      <c r="V124" s="18"/>
      <c r="W124" s="18"/>
      <c r="X124" s="27">
        <v>0</v>
      </c>
      <c r="Y124" s="27">
        <f t="shared" si="25"/>
        <v>0</v>
      </c>
      <c r="AA124" s="35" t="s">
        <v>38</v>
      </c>
      <c r="AB124" s="36"/>
      <c r="AG124" s="21" t="s">
        <v>10</v>
      </c>
      <c r="AH124" s="22">
        <f>Y141</f>
        <v>17</v>
      </c>
      <c r="AI124" s="18"/>
    </row>
    <row r="125" spans="3:35" x14ac:dyDescent="0.25">
      <c r="C125" s="26"/>
      <c r="D125" s="18"/>
      <c r="E125" s="27">
        <v>0</v>
      </c>
      <c r="F125" s="27">
        <v>0</v>
      </c>
      <c r="G125" s="27" t="e">
        <f t="shared" ref="G125:G140" si="27">E125/F125</f>
        <v>#DIV/0!</v>
      </c>
      <c r="I125" s="18"/>
      <c r="J125" s="18"/>
      <c r="K125" s="27">
        <v>0</v>
      </c>
      <c r="L125" s="26"/>
      <c r="M125" s="27" t="e">
        <f t="shared" si="26"/>
        <v>#DIV/0!</v>
      </c>
      <c r="P125" s="18">
        <v>1</v>
      </c>
      <c r="Q125" s="18" t="s">
        <v>121</v>
      </c>
      <c r="R125" s="27">
        <v>17</v>
      </c>
      <c r="S125" s="27">
        <f t="shared" si="24"/>
        <v>17</v>
      </c>
      <c r="U125" s="18"/>
      <c r="V125" s="18"/>
      <c r="W125" s="18"/>
      <c r="X125" s="27">
        <v>0</v>
      </c>
      <c r="Y125" s="27">
        <f t="shared" si="25"/>
        <v>0</v>
      </c>
      <c r="AA125" s="18" t="s">
        <v>24</v>
      </c>
      <c r="AB125" s="18" t="s">
        <v>25</v>
      </c>
      <c r="AC125" s="18" t="s">
        <v>26</v>
      </c>
      <c r="AD125" s="18" t="s">
        <v>27</v>
      </c>
      <c r="AG125" s="18" t="s">
        <v>42</v>
      </c>
      <c r="AH125" s="22">
        <f>E141</f>
        <v>232</v>
      </c>
      <c r="AI125" s="18"/>
    </row>
    <row r="126" spans="3:35" x14ac:dyDescent="0.25">
      <c r="C126" s="26"/>
      <c r="D126" s="18"/>
      <c r="E126" s="27">
        <v>0</v>
      </c>
      <c r="F126" s="27">
        <v>0</v>
      </c>
      <c r="G126" s="27" t="e">
        <f t="shared" si="27"/>
        <v>#DIV/0!</v>
      </c>
      <c r="I126" s="18"/>
      <c r="J126" s="18"/>
      <c r="K126" s="27">
        <v>0</v>
      </c>
      <c r="L126" s="26"/>
      <c r="M126" s="27" t="e">
        <f t="shared" si="26"/>
        <v>#DIV/0!</v>
      </c>
      <c r="P126" s="18">
        <v>1</v>
      </c>
      <c r="Q126" s="18" t="s">
        <v>132</v>
      </c>
      <c r="R126" s="27">
        <v>17</v>
      </c>
      <c r="S126" s="27">
        <f t="shared" si="24"/>
        <v>17</v>
      </c>
      <c r="U126" s="18"/>
      <c r="V126" s="18"/>
      <c r="W126" s="18"/>
      <c r="X126" s="27">
        <v>0</v>
      </c>
      <c r="Y126" s="27">
        <f t="shared" si="25"/>
        <v>0</v>
      </c>
      <c r="AA126" s="18"/>
      <c r="AB126" s="18"/>
      <c r="AC126" s="27">
        <v>0</v>
      </c>
      <c r="AD126" s="27">
        <f t="shared" ref="AD126:AD131" si="28">AA126*AC126</f>
        <v>0</v>
      </c>
      <c r="AG126" s="21" t="s">
        <v>46</v>
      </c>
      <c r="AH126" s="22">
        <f>K141</f>
        <v>0</v>
      </c>
      <c r="AI126" s="18"/>
    </row>
    <row r="127" spans="3:35" x14ac:dyDescent="0.25">
      <c r="C127" s="26"/>
      <c r="D127" s="18"/>
      <c r="E127" s="27">
        <v>0</v>
      </c>
      <c r="F127" s="27">
        <v>0</v>
      </c>
      <c r="G127" s="27" t="e">
        <f t="shared" si="27"/>
        <v>#DIV/0!</v>
      </c>
      <c r="I127" s="18"/>
      <c r="J127" s="18"/>
      <c r="K127" s="27">
        <v>0</v>
      </c>
      <c r="L127" s="26"/>
      <c r="M127" s="27" t="e">
        <f t="shared" si="26"/>
        <v>#DIV/0!</v>
      </c>
      <c r="P127" s="18">
        <v>1</v>
      </c>
      <c r="Q127" s="18" t="s">
        <v>127</v>
      </c>
      <c r="R127" s="27">
        <v>3.5</v>
      </c>
      <c r="S127" s="27">
        <f t="shared" si="24"/>
        <v>3.5</v>
      </c>
      <c r="U127" s="18"/>
      <c r="V127" s="18"/>
      <c r="W127" s="18"/>
      <c r="X127" s="27">
        <v>0</v>
      </c>
      <c r="Y127" s="27">
        <f t="shared" si="25"/>
        <v>0</v>
      </c>
      <c r="AA127" s="18"/>
      <c r="AB127" s="18"/>
      <c r="AC127" s="27">
        <v>0</v>
      </c>
      <c r="AD127" s="27">
        <f t="shared" si="28"/>
        <v>0</v>
      </c>
      <c r="AG127" s="18" t="s">
        <v>50</v>
      </c>
      <c r="AH127" s="27">
        <v>0</v>
      </c>
      <c r="AI127" s="18"/>
    </row>
    <row r="128" spans="3:35" x14ac:dyDescent="0.25">
      <c r="C128" s="26"/>
      <c r="D128" s="18"/>
      <c r="E128" s="27">
        <v>0</v>
      </c>
      <c r="F128" s="27">
        <v>0</v>
      </c>
      <c r="G128" s="27" t="e">
        <f t="shared" si="27"/>
        <v>#DIV/0!</v>
      </c>
      <c r="I128" s="18"/>
      <c r="J128" s="18"/>
      <c r="K128" s="27">
        <v>0</v>
      </c>
      <c r="L128" s="26"/>
      <c r="M128" s="27" t="e">
        <f t="shared" si="26"/>
        <v>#DIV/0!</v>
      </c>
      <c r="P128" s="18">
        <v>2</v>
      </c>
      <c r="Q128" s="18" t="s">
        <v>113</v>
      </c>
      <c r="R128" s="27">
        <v>16</v>
      </c>
      <c r="S128" s="27">
        <f t="shared" si="24"/>
        <v>32</v>
      </c>
      <c r="U128" s="18"/>
      <c r="V128" s="18"/>
      <c r="W128" s="18"/>
      <c r="X128" s="27">
        <v>0</v>
      </c>
      <c r="Y128" s="27">
        <f t="shared" si="25"/>
        <v>0</v>
      </c>
      <c r="AA128" s="18"/>
      <c r="AB128" s="18"/>
      <c r="AC128" s="27">
        <v>0</v>
      </c>
      <c r="AD128" s="27">
        <f t="shared" si="28"/>
        <v>0</v>
      </c>
      <c r="AG128" s="21" t="s">
        <v>52</v>
      </c>
      <c r="AH128" s="27">
        <v>0</v>
      </c>
      <c r="AI128" s="18"/>
    </row>
    <row r="129" spans="3:35" x14ac:dyDescent="0.25">
      <c r="C129" s="26"/>
      <c r="D129" s="18"/>
      <c r="E129" s="27">
        <v>0</v>
      </c>
      <c r="F129" s="27">
        <v>0</v>
      </c>
      <c r="G129" s="27" t="e">
        <f t="shared" si="27"/>
        <v>#DIV/0!</v>
      </c>
      <c r="I129" s="18"/>
      <c r="J129" s="18"/>
      <c r="K129" s="27">
        <v>0</v>
      </c>
      <c r="L129" s="26"/>
      <c r="M129" s="27" t="e">
        <f t="shared" si="26"/>
        <v>#DIV/0!</v>
      </c>
      <c r="P129" s="18">
        <v>2</v>
      </c>
      <c r="Q129" s="18" t="s">
        <v>111</v>
      </c>
      <c r="R129" s="27">
        <v>18</v>
      </c>
      <c r="S129" s="27">
        <f t="shared" si="24"/>
        <v>36</v>
      </c>
      <c r="U129" s="18"/>
      <c r="V129" s="18"/>
      <c r="W129" s="18"/>
      <c r="X129" s="27">
        <v>0</v>
      </c>
      <c r="Y129" s="27">
        <f t="shared" si="25"/>
        <v>0</v>
      </c>
      <c r="AA129" s="18"/>
      <c r="AB129" s="18"/>
      <c r="AC129" s="27">
        <v>0</v>
      </c>
      <c r="AD129" s="27">
        <f t="shared" si="28"/>
        <v>0</v>
      </c>
      <c r="AG129" s="18" t="s">
        <v>54</v>
      </c>
      <c r="AH129" s="27">
        <f>AD141</f>
        <v>0</v>
      </c>
      <c r="AI129" s="18"/>
    </row>
    <row r="130" spans="3:35" x14ac:dyDescent="0.25">
      <c r="C130" s="26"/>
      <c r="D130" s="18"/>
      <c r="E130" s="27">
        <v>0</v>
      </c>
      <c r="F130" s="27">
        <v>0</v>
      </c>
      <c r="G130" s="27" t="e">
        <f t="shared" si="27"/>
        <v>#DIV/0!</v>
      </c>
      <c r="I130" s="18"/>
      <c r="J130" s="18"/>
      <c r="K130" s="27">
        <v>0</v>
      </c>
      <c r="L130" s="26"/>
      <c r="M130" s="27" t="e">
        <f t="shared" si="26"/>
        <v>#DIV/0!</v>
      </c>
      <c r="P130" s="18">
        <v>1</v>
      </c>
      <c r="Q130" s="18" t="s">
        <v>133</v>
      </c>
      <c r="R130" s="27">
        <v>14</v>
      </c>
      <c r="S130" s="27">
        <f t="shared" si="24"/>
        <v>14</v>
      </c>
      <c r="U130" s="18"/>
      <c r="V130" s="18"/>
      <c r="W130" s="18"/>
      <c r="X130" s="27">
        <v>0</v>
      </c>
      <c r="Y130" s="27">
        <f t="shared" si="25"/>
        <v>0</v>
      </c>
      <c r="AA130" s="18"/>
      <c r="AB130" s="18"/>
      <c r="AC130" s="27">
        <v>0</v>
      </c>
      <c r="AD130" s="27">
        <f t="shared" si="28"/>
        <v>0</v>
      </c>
      <c r="AG130" s="21" t="s">
        <v>56</v>
      </c>
      <c r="AH130" s="27">
        <v>60</v>
      </c>
      <c r="AI130" s="18"/>
    </row>
    <row r="131" spans="3:35" x14ac:dyDescent="0.25">
      <c r="C131" s="26"/>
      <c r="D131" s="18"/>
      <c r="E131" s="27">
        <v>0</v>
      </c>
      <c r="F131" s="27">
        <v>0</v>
      </c>
      <c r="G131" s="27" t="e">
        <f t="shared" si="27"/>
        <v>#DIV/0!</v>
      </c>
      <c r="I131" s="18"/>
      <c r="J131" s="18"/>
      <c r="K131" s="27">
        <v>0</v>
      </c>
      <c r="L131" s="26"/>
      <c r="M131" s="27" t="e">
        <f t="shared" si="26"/>
        <v>#DIV/0!</v>
      </c>
      <c r="P131" s="18">
        <v>1</v>
      </c>
      <c r="Q131" s="18" t="s">
        <v>109</v>
      </c>
      <c r="R131" s="27">
        <v>14</v>
      </c>
      <c r="S131" s="27">
        <f t="shared" si="24"/>
        <v>14</v>
      </c>
      <c r="U131" s="18"/>
      <c r="V131" s="18"/>
      <c r="W131" s="18"/>
      <c r="X131" s="27">
        <v>0</v>
      </c>
      <c r="Y131" s="27">
        <f t="shared" si="25"/>
        <v>0</v>
      </c>
      <c r="AA131" s="18"/>
      <c r="AB131" s="18"/>
      <c r="AC131" s="27">
        <v>0</v>
      </c>
      <c r="AD131" s="27">
        <f t="shared" si="28"/>
        <v>0</v>
      </c>
      <c r="AG131" s="18" t="s">
        <v>58</v>
      </c>
      <c r="AH131" s="27">
        <v>0</v>
      </c>
      <c r="AI131" s="18"/>
    </row>
    <row r="132" spans="3:35" x14ac:dyDescent="0.25">
      <c r="C132" s="26"/>
      <c r="D132" s="18"/>
      <c r="E132" s="27">
        <v>0</v>
      </c>
      <c r="F132" s="27">
        <v>0</v>
      </c>
      <c r="G132" s="27" t="e">
        <f t="shared" si="27"/>
        <v>#DIV/0!</v>
      </c>
      <c r="I132" s="18"/>
      <c r="J132" s="18"/>
      <c r="K132" s="27">
        <v>0</v>
      </c>
      <c r="L132" s="26"/>
      <c r="M132" s="27" t="e">
        <f t="shared" si="26"/>
        <v>#DIV/0!</v>
      </c>
      <c r="P132" s="18">
        <v>1</v>
      </c>
      <c r="Q132" s="18" t="s">
        <v>134</v>
      </c>
      <c r="R132" s="27">
        <v>15</v>
      </c>
      <c r="S132" s="27">
        <f t="shared" si="24"/>
        <v>15</v>
      </c>
      <c r="U132" s="18"/>
      <c r="V132" s="18"/>
      <c r="W132" s="18"/>
      <c r="X132" s="27">
        <v>0</v>
      </c>
      <c r="Y132" s="27">
        <f t="shared" si="25"/>
        <v>0</v>
      </c>
      <c r="AA132" s="18" t="s">
        <v>59</v>
      </c>
      <c r="AB132" s="18"/>
      <c r="AC132" s="27"/>
      <c r="AD132" s="19">
        <f>SUM(AD126:AD131)</f>
        <v>0</v>
      </c>
      <c r="AG132" s="21" t="s">
        <v>60</v>
      </c>
      <c r="AH132" s="27">
        <v>0</v>
      </c>
      <c r="AI132" s="18"/>
    </row>
    <row r="133" spans="3:35" x14ac:dyDescent="0.25">
      <c r="C133" s="26"/>
      <c r="D133" s="18"/>
      <c r="E133" s="27">
        <v>0</v>
      </c>
      <c r="F133" s="27">
        <v>0</v>
      </c>
      <c r="G133" s="27" t="e">
        <f t="shared" si="27"/>
        <v>#DIV/0!</v>
      </c>
      <c r="I133" s="18"/>
      <c r="J133" s="18"/>
      <c r="K133" s="27">
        <v>0</v>
      </c>
      <c r="L133" s="26"/>
      <c r="M133" s="27" t="e">
        <f t="shared" si="26"/>
        <v>#DIV/0!</v>
      </c>
      <c r="P133" s="18"/>
      <c r="Q133" s="18"/>
      <c r="R133" s="27">
        <v>0</v>
      </c>
      <c r="S133" s="27">
        <f t="shared" si="24"/>
        <v>0</v>
      </c>
      <c r="U133" s="18"/>
      <c r="V133" s="18"/>
      <c r="W133" s="18"/>
      <c r="X133" s="27">
        <v>0</v>
      </c>
      <c r="Y133" s="27">
        <f t="shared" si="25"/>
        <v>0</v>
      </c>
      <c r="AA133" s="46"/>
      <c r="AB133" s="46"/>
      <c r="AC133" s="47"/>
      <c r="AD133" s="47"/>
      <c r="AG133" s="18" t="s">
        <v>61</v>
      </c>
      <c r="AH133" s="27">
        <v>0</v>
      </c>
      <c r="AI133" s="18"/>
    </row>
    <row r="134" spans="3:35" x14ac:dyDescent="0.25">
      <c r="C134" s="26"/>
      <c r="D134" s="18"/>
      <c r="E134" s="27">
        <v>0</v>
      </c>
      <c r="F134" s="27">
        <v>0</v>
      </c>
      <c r="G134" s="27" t="e">
        <f t="shared" si="27"/>
        <v>#DIV/0!</v>
      </c>
      <c r="I134" s="18"/>
      <c r="J134" s="18"/>
      <c r="K134" s="27">
        <v>0</v>
      </c>
      <c r="L134" s="26"/>
      <c r="M134" s="27" t="e">
        <f t="shared" si="26"/>
        <v>#DIV/0!</v>
      </c>
      <c r="P134" s="18"/>
      <c r="Q134" s="18"/>
      <c r="R134" s="27">
        <v>0</v>
      </c>
      <c r="S134" s="27">
        <f t="shared" si="24"/>
        <v>0</v>
      </c>
      <c r="U134" s="18"/>
      <c r="V134" s="18"/>
      <c r="W134" s="18"/>
      <c r="X134" s="27">
        <v>0</v>
      </c>
      <c r="Y134" s="27">
        <f t="shared" si="25"/>
        <v>0</v>
      </c>
      <c r="AA134" s="46"/>
      <c r="AB134" s="46"/>
      <c r="AC134" s="47"/>
      <c r="AD134" s="47"/>
      <c r="AG134" s="21" t="s">
        <v>62</v>
      </c>
      <c r="AH134" s="27">
        <v>0</v>
      </c>
      <c r="AI134" s="18"/>
    </row>
    <row r="135" spans="3:35" x14ac:dyDescent="0.25">
      <c r="C135" s="26"/>
      <c r="D135" s="18"/>
      <c r="E135" s="27">
        <f t="shared" ref="E135:E140" si="29">SUM(X135:Z135)</f>
        <v>0</v>
      </c>
      <c r="F135" s="27">
        <v>0</v>
      </c>
      <c r="G135" s="27" t="e">
        <f t="shared" si="27"/>
        <v>#DIV/0!</v>
      </c>
      <c r="I135" s="18"/>
      <c r="J135" s="18"/>
      <c r="K135" s="27">
        <v>0</v>
      </c>
      <c r="L135" s="26"/>
      <c r="M135" s="27" t="e">
        <f t="shared" si="26"/>
        <v>#DIV/0!</v>
      </c>
      <c r="P135" s="18"/>
      <c r="Q135" s="18"/>
      <c r="R135" s="27">
        <v>0</v>
      </c>
      <c r="S135" s="27">
        <f t="shared" si="24"/>
        <v>0</v>
      </c>
      <c r="U135" s="18"/>
      <c r="V135" s="18"/>
      <c r="W135" s="18"/>
      <c r="X135" s="27">
        <v>0</v>
      </c>
      <c r="Y135" s="27">
        <f t="shared" si="25"/>
        <v>0</v>
      </c>
      <c r="AA135" s="48" t="s">
        <v>64</v>
      </c>
      <c r="AB135" s="49"/>
      <c r="AC135" s="49"/>
      <c r="AG135" s="18" t="s">
        <v>65</v>
      </c>
      <c r="AH135" s="27">
        <v>0</v>
      </c>
      <c r="AI135" s="18"/>
    </row>
    <row r="136" spans="3:35" x14ac:dyDescent="0.25">
      <c r="C136" s="26"/>
      <c r="D136" s="18"/>
      <c r="E136" s="27">
        <f t="shared" si="29"/>
        <v>0</v>
      </c>
      <c r="F136" s="27">
        <v>0</v>
      </c>
      <c r="G136" s="27" t="e">
        <f t="shared" si="27"/>
        <v>#DIV/0!</v>
      </c>
      <c r="I136" s="18"/>
      <c r="J136" s="18"/>
      <c r="K136" s="27">
        <v>0</v>
      </c>
      <c r="L136" s="26"/>
      <c r="M136" s="27" t="e">
        <f t="shared" si="26"/>
        <v>#DIV/0!</v>
      </c>
      <c r="P136" s="18"/>
      <c r="Q136" s="18"/>
      <c r="R136" s="27">
        <v>0</v>
      </c>
      <c r="S136" s="27">
        <f t="shared" si="24"/>
        <v>0</v>
      </c>
      <c r="U136" s="18"/>
      <c r="V136" s="18"/>
      <c r="W136" s="18"/>
      <c r="X136" s="27">
        <v>0</v>
      </c>
      <c r="Y136" s="27">
        <f t="shared" si="25"/>
        <v>0</v>
      </c>
      <c r="AA136" s="18" t="s">
        <v>24</v>
      </c>
      <c r="AB136" s="18" t="s">
        <v>25</v>
      </c>
      <c r="AC136" s="18" t="s">
        <v>26</v>
      </c>
      <c r="AD136" s="18" t="s">
        <v>27</v>
      </c>
      <c r="AG136" s="21" t="s">
        <v>67</v>
      </c>
      <c r="AH136" s="27">
        <v>0</v>
      </c>
      <c r="AI136" s="18"/>
    </row>
    <row r="137" spans="3:35" x14ac:dyDescent="0.25">
      <c r="C137" s="26"/>
      <c r="D137" s="18"/>
      <c r="E137" s="27">
        <f t="shared" si="29"/>
        <v>0</v>
      </c>
      <c r="F137" s="27">
        <v>0</v>
      </c>
      <c r="G137" s="27" t="e">
        <f t="shared" si="27"/>
        <v>#DIV/0!</v>
      </c>
      <c r="I137" s="18"/>
      <c r="J137" s="18"/>
      <c r="K137" s="27">
        <v>0</v>
      </c>
      <c r="L137" s="26"/>
      <c r="M137" s="27" t="e">
        <f t="shared" si="26"/>
        <v>#DIV/0!</v>
      </c>
      <c r="P137" s="18"/>
      <c r="Q137" s="18"/>
      <c r="R137" s="27">
        <v>0</v>
      </c>
      <c r="S137" s="27">
        <f t="shared" si="24"/>
        <v>0</v>
      </c>
      <c r="U137" s="18"/>
      <c r="V137" s="18"/>
      <c r="W137" s="18"/>
      <c r="X137" s="27">
        <v>0</v>
      </c>
      <c r="Y137" s="27">
        <f t="shared" si="25"/>
        <v>0</v>
      </c>
      <c r="AA137" s="18"/>
      <c r="AB137" s="18"/>
      <c r="AC137" s="27">
        <v>0</v>
      </c>
      <c r="AD137" s="27">
        <f>AA137*AC137</f>
        <v>0</v>
      </c>
      <c r="AG137" s="18" t="s">
        <v>68</v>
      </c>
      <c r="AH137" s="27">
        <v>0</v>
      </c>
      <c r="AI137" s="18"/>
    </row>
    <row r="138" spans="3:35" x14ac:dyDescent="0.25">
      <c r="C138" s="26"/>
      <c r="D138" s="18"/>
      <c r="E138" s="27">
        <f t="shared" si="29"/>
        <v>0</v>
      </c>
      <c r="F138" s="27">
        <v>0</v>
      </c>
      <c r="G138" s="27" t="e">
        <f t="shared" si="27"/>
        <v>#DIV/0!</v>
      </c>
      <c r="I138" s="18"/>
      <c r="J138" s="18"/>
      <c r="K138" s="27">
        <v>0</v>
      </c>
      <c r="L138" s="26"/>
      <c r="M138" s="27" t="e">
        <f t="shared" si="26"/>
        <v>#DIV/0!</v>
      </c>
      <c r="P138" s="18"/>
      <c r="Q138" s="18"/>
      <c r="R138" s="27">
        <v>0</v>
      </c>
      <c r="S138" s="27">
        <f t="shared" si="24"/>
        <v>0</v>
      </c>
      <c r="U138" s="18"/>
      <c r="V138" s="18"/>
      <c r="W138" s="18"/>
      <c r="X138" s="27">
        <v>0</v>
      </c>
      <c r="Y138" s="27">
        <f t="shared" si="25"/>
        <v>0</v>
      </c>
      <c r="AA138" s="18"/>
      <c r="AB138" s="18"/>
      <c r="AC138" s="27">
        <v>0</v>
      </c>
      <c r="AD138" s="27">
        <f>AA138*AC138</f>
        <v>0</v>
      </c>
      <c r="AG138" s="21" t="s">
        <v>69</v>
      </c>
      <c r="AH138" s="55">
        <f>AD132</f>
        <v>0</v>
      </c>
      <c r="AI138" s="18"/>
    </row>
    <row r="139" spans="3:35" x14ac:dyDescent="0.25">
      <c r="C139" s="26"/>
      <c r="D139" s="18"/>
      <c r="E139" s="27">
        <f t="shared" si="29"/>
        <v>0</v>
      </c>
      <c r="F139" s="27">
        <v>0</v>
      </c>
      <c r="G139" s="27" t="e">
        <f t="shared" si="27"/>
        <v>#DIV/0!</v>
      </c>
      <c r="I139" s="18"/>
      <c r="J139" s="18"/>
      <c r="K139" s="27">
        <v>0</v>
      </c>
      <c r="L139" s="26"/>
      <c r="M139" s="27" t="e">
        <f t="shared" si="26"/>
        <v>#DIV/0!</v>
      </c>
      <c r="P139" s="18"/>
      <c r="Q139" s="18"/>
      <c r="R139" s="27">
        <v>0</v>
      </c>
      <c r="S139" s="27">
        <f t="shared" si="24"/>
        <v>0</v>
      </c>
      <c r="U139" s="18"/>
      <c r="V139" s="18"/>
      <c r="W139" s="18"/>
      <c r="X139" s="27">
        <v>0</v>
      </c>
      <c r="Y139" s="27">
        <f t="shared" si="25"/>
        <v>0</v>
      </c>
      <c r="AA139" s="18"/>
      <c r="AB139" s="18"/>
      <c r="AC139" s="27">
        <v>0</v>
      </c>
      <c r="AD139" s="27">
        <f>AA139*AC139</f>
        <v>0</v>
      </c>
      <c r="AG139" s="56" t="s">
        <v>70</v>
      </c>
      <c r="AH139" s="55">
        <v>0</v>
      </c>
      <c r="AI139" s="18"/>
    </row>
    <row r="140" spans="3:35" x14ac:dyDescent="0.25">
      <c r="C140" s="26"/>
      <c r="D140" s="18"/>
      <c r="E140" s="27">
        <f t="shared" si="29"/>
        <v>0</v>
      </c>
      <c r="F140" s="27">
        <v>0</v>
      </c>
      <c r="G140" s="27" t="e">
        <f t="shared" si="27"/>
        <v>#DIV/0!</v>
      </c>
      <c r="I140" s="18"/>
      <c r="J140" s="18"/>
      <c r="K140" s="27">
        <v>0</v>
      </c>
      <c r="L140" s="26"/>
      <c r="M140" s="27" t="e">
        <f t="shared" si="26"/>
        <v>#DIV/0!</v>
      </c>
      <c r="P140" s="18"/>
      <c r="Q140" s="18"/>
      <c r="R140" s="27">
        <v>0</v>
      </c>
      <c r="S140" s="27">
        <f t="shared" si="24"/>
        <v>0</v>
      </c>
      <c r="U140" s="18"/>
      <c r="V140" s="18"/>
      <c r="W140" s="18"/>
      <c r="X140" s="27">
        <v>0</v>
      </c>
      <c r="Y140" s="27">
        <f t="shared" si="25"/>
        <v>0</v>
      </c>
      <c r="AA140" s="18"/>
      <c r="AB140" s="18"/>
      <c r="AC140" s="27">
        <v>0</v>
      </c>
      <c r="AD140" s="27">
        <f>AA140*AC140</f>
        <v>0</v>
      </c>
      <c r="AG140" s="21" t="s">
        <v>71</v>
      </c>
      <c r="AH140" s="27">
        <v>124</v>
      </c>
      <c r="AI140" s="18"/>
    </row>
    <row r="141" spans="3:35" x14ac:dyDescent="0.25">
      <c r="C141" s="18" t="s">
        <v>59</v>
      </c>
      <c r="D141" s="18"/>
      <c r="E141" s="57">
        <f>SUM(E123:E140)</f>
        <v>232</v>
      </c>
      <c r="F141" s="18"/>
      <c r="G141" s="18"/>
      <c r="I141" s="18" t="s">
        <v>59</v>
      </c>
      <c r="J141" s="18"/>
      <c r="K141" s="22">
        <f>SUM(K123:K140)</f>
        <v>0</v>
      </c>
      <c r="L141" s="26"/>
      <c r="M141" s="18"/>
      <c r="P141" s="83" t="s">
        <v>27</v>
      </c>
      <c r="Q141" s="84"/>
      <c r="R141" s="85"/>
      <c r="S141" s="58">
        <f>SUM(S123:S140)</f>
        <v>218.5</v>
      </c>
      <c r="U141" s="83" t="s">
        <v>27</v>
      </c>
      <c r="V141" s="84"/>
      <c r="W141" s="84"/>
      <c r="X141" s="85"/>
      <c r="Y141" s="58">
        <f>SUM(Y123:Y140)</f>
        <v>17</v>
      </c>
      <c r="AA141" s="18"/>
      <c r="AB141" s="18"/>
      <c r="AC141" s="27">
        <v>0</v>
      </c>
      <c r="AD141" s="27">
        <f>SUM(AD137:AD140)</f>
        <v>0</v>
      </c>
      <c r="AG141" s="18" t="s">
        <v>72</v>
      </c>
      <c r="AH141" s="27">
        <v>0</v>
      </c>
      <c r="AI141" s="18"/>
    </row>
    <row r="142" spans="3:35" x14ac:dyDescent="0.25">
      <c r="AG142" s="60" t="s">
        <v>73</v>
      </c>
      <c r="AH142" s="61">
        <f>AH122-AH123-AH124-AH125-AH126-AH127-AH128-AH129-AH130-AH131-AH132-AH133-AH134-AH135-AH136-AH137-AH138-AH139-AH140-AH141</f>
        <v>6878.5</v>
      </c>
      <c r="AI142" s="60"/>
    </row>
    <row r="146" spans="3:35" x14ac:dyDescent="0.25">
      <c r="C146" t="s">
        <v>135</v>
      </c>
      <c r="AA146" t="str">
        <f>C146</f>
        <v>FECHA: SABADO 11 DE ABRIL</v>
      </c>
    </row>
    <row r="147" spans="3:35" x14ac:dyDescent="0.25">
      <c r="C147" s="43" t="s">
        <v>76</v>
      </c>
      <c r="D147" s="65"/>
      <c r="P147" s="18" t="str">
        <f>C146</f>
        <v>FECHA: SABADO 11 DE ABRIL</v>
      </c>
      <c r="U147" s="18" t="str">
        <f>P147</f>
        <v>FECHA: SABADO 11 DE ABRIL</v>
      </c>
      <c r="AA147" s="24" t="s">
        <v>3</v>
      </c>
      <c r="AB147" s="25"/>
      <c r="AG147" s="66" t="str">
        <f>AA146</f>
        <v>FECHA: SABADO 11 DE ABRIL</v>
      </c>
    </row>
    <row r="148" spans="3:35" x14ac:dyDescent="0.25">
      <c r="C148" s="74" t="s">
        <v>7</v>
      </c>
      <c r="D148" s="75"/>
      <c r="E148" s="75"/>
      <c r="F148" s="75"/>
      <c r="G148" s="76"/>
      <c r="I148" s="77" t="s">
        <v>8</v>
      </c>
      <c r="J148" s="78"/>
      <c r="K148" s="78"/>
      <c r="L148" s="78"/>
      <c r="M148" s="79"/>
      <c r="P148" s="74" t="s">
        <v>9</v>
      </c>
      <c r="Q148" s="75"/>
      <c r="R148" s="75"/>
      <c r="S148" s="76"/>
      <c r="U148" s="80" t="s">
        <v>77</v>
      </c>
      <c r="V148" s="81"/>
      <c r="W148" s="81"/>
      <c r="X148" s="81"/>
      <c r="Y148" s="82"/>
      <c r="AA148" s="10" t="s">
        <v>11</v>
      </c>
      <c r="AB148" s="11" t="s">
        <v>12</v>
      </c>
      <c r="AC148" s="12" t="s">
        <v>13</v>
      </c>
      <c r="AD148" s="13" t="s">
        <v>14</v>
      </c>
      <c r="AG148" s="14" t="s">
        <v>15</v>
      </c>
      <c r="AH148" s="15" t="s">
        <v>16</v>
      </c>
      <c r="AI148" s="16" t="s">
        <v>17</v>
      </c>
    </row>
    <row r="149" spans="3:35" x14ac:dyDescent="0.25">
      <c r="C149" s="18" t="s">
        <v>19</v>
      </c>
      <c r="D149" s="18" t="s">
        <v>20</v>
      </c>
      <c r="E149" s="18" t="s">
        <v>21</v>
      </c>
      <c r="F149" s="18" t="s">
        <v>22</v>
      </c>
      <c r="G149" s="18" t="s">
        <v>23</v>
      </c>
      <c r="I149" s="18" t="s">
        <v>19</v>
      </c>
      <c r="J149" s="18" t="s">
        <v>20</v>
      </c>
      <c r="K149" s="18" t="s">
        <v>21</v>
      </c>
      <c r="L149" s="18" t="s">
        <v>22</v>
      </c>
      <c r="M149" s="18" t="s">
        <v>23</v>
      </c>
      <c r="P149" s="18" t="s">
        <v>24</v>
      </c>
      <c r="Q149" s="18" t="s">
        <v>25</v>
      </c>
      <c r="R149" s="18" t="s">
        <v>26</v>
      </c>
      <c r="S149" s="18" t="s">
        <v>27</v>
      </c>
      <c r="U149" s="18" t="s">
        <v>24</v>
      </c>
      <c r="V149" s="18" t="s">
        <v>25</v>
      </c>
      <c r="W149" s="18"/>
      <c r="X149" s="18" t="s">
        <v>26</v>
      </c>
      <c r="Y149" s="18" t="s">
        <v>27</v>
      </c>
      <c r="AA149" s="13" t="s">
        <v>55</v>
      </c>
      <c r="AB149" s="19">
        <v>4305</v>
      </c>
      <c r="AC149" s="20">
        <v>3657</v>
      </c>
      <c r="AD149" s="19">
        <f>AB149+AC149</f>
        <v>7962</v>
      </c>
      <c r="AG149" s="21" t="s">
        <v>29</v>
      </c>
      <c r="AH149" s="22">
        <f>AD149</f>
        <v>7962</v>
      </c>
      <c r="AI149" s="18"/>
    </row>
    <row r="150" spans="3:35" x14ac:dyDescent="0.25">
      <c r="C150" s="26">
        <v>1</v>
      </c>
      <c r="D150" s="18" t="s">
        <v>136</v>
      </c>
      <c r="E150" s="27">
        <v>107</v>
      </c>
      <c r="F150" s="27">
        <v>1</v>
      </c>
      <c r="G150" s="27">
        <f>E150/F150</f>
        <v>107</v>
      </c>
      <c r="I150" s="18">
        <v>1</v>
      </c>
      <c r="J150" s="18" t="s">
        <v>137</v>
      </c>
      <c r="K150" s="27">
        <v>59</v>
      </c>
      <c r="L150" s="28">
        <v>1</v>
      </c>
      <c r="M150" s="27">
        <f>K150/L150</f>
        <v>59</v>
      </c>
      <c r="P150" s="18">
        <v>4</v>
      </c>
      <c r="Q150" s="18" t="s">
        <v>207</v>
      </c>
      <c r="R150" s="27">
        <v>16</v>
      </c>
      <c r="S150" s="27">
        <f t="shared" ref="S150:S167" si="30">P150*R150</f>
        <v>64</v>
      </c>
      <c r="U150" s="18">
        <v>1</v>
      </c>
      <c r="V150" s="18" t="s">
        <v>107</v>
      </c>
      <c r="W150" s="18"/>
      <c r="X150" s="27">
        <v>15</v>
      </c>
      <c r="Y150" s="27">
        <f t="shared" ref="Y150:Y167" si="31">U150*X150</f>
        <v>15</v>
      </c>
      <c r="AG150" s="18" t="s">
        <v>9</v>
      </c>
      <c r="AH150" s="22">
        <f>S168</f>
        <v>64</v>
      </c>
      <c r="AI150" s="18"/>
    </row>
    <row r="151" spans="3:35" x14ac:dyDescent="0.25">
      <c r="C151" s="26">
        <v>1</v>
      </c>
      <c r="D151" s="18" t="s">
        <v>138</v>
      </c>
      <c r="E151" s="27">
        <v>107</v>
      </c>
      <c r="F151" s="27">
        <v>1</v>
      </c>
      <c r="G151" s="27">
        <f>E151/F151</f>
        <v>107</v>
      </c>
      <c r="I151" s="18">
        <v>1</v>
      </c>
      <c r="J151" s="18" t="s">
        <v>139</v>
      </c>
      <c r="K151" s="27">
        <v>68</v>
      </c>
      <c r="L151" s="28">
        <v>1</v>
      </c>
      <c r="M151" s="27">
        <f t="shared" ref="M151:M167" si="32">K151/L151</f>
        <v>68</v>
      </c>
      <c r="P151" s="18"/>
      <c r="Q151" s="18"/>
      <c r="R151" s="27">
        <v>0</v>
      </c>
      <c r="S151" s="27">
        <f t="shared" si="30"/>
        <v>0</v>
      </c>
      <c r="U151" s="18">
        <v>1</v>
      </c>
      <c r="V151" s="18" t="s">
        <v>49</v>
      </c>
      <c r="W151" s="18"/>
      <c r="X151" s="27">
        <v>17</v>
      </c>
      <c r="Y151" s="27">
        <f t="shared" si="31"/>
        <v>17</v>
      </c>
      <c r="AA151" s="35" t="s">
        <v>38</v>
      </c>
      <c r="AB151" s="36"/>
      <c r="AG151" s="21" t="s">
        <v>10</v>
      </c>
      <c r="AH151" s="22">
        <f>Y168</f>
        <v>63</v>
      </c>
      <c r="AI151" s="18"/>
    </row>
    <row r="152" spans="3:35" x14ac:dyDescent="0.25">
      <c r="C152" s="26">
        <v>1</v>
      </c>
      <c r="D152" s="18" t="s">
        <v>140</v>
      </c>
      <c r="E152" s="27">
        <v>97</v>
      </c>
      <c r="F152" s="27">
        <v>1</v>
      </c>
      <c r="G152" s="27">
        <f t="shared" ref="G152:G167" si="33">E152/F152</f>
        <v>97</v>
      </c>
      <c r="I152" s="18">
        <v>1</v>
      </c>
      <c r="J152" s="18" t="s">
        <v>141</v>
      </c>
      <c r="K152" s="27">
        <v>36</v>
      </c>
      <c r="L152" s="26">
        <v>1</v>
      </c>
      <c r="M152" s="27">
        <f t="shared" si="32"/>
        <v>36</v>
      </c>
      <c r="P152" s="18"/>
      <c r="Q152" s="18"/>
      <c r="R152" s="27">
        <v>0</v>
      </c>
      <c r="S152" s="27">
        <f t="shared" si="30"/>
        <v>0</v>
      </c>
      <c r="U152" s="18">
        <v>1</v>
      </c>
      <c r="V152" s="18" t="s">
        <v>37</v>
      </c>
      <c r="W152" s="18"/>
      <c r="X152" s="27">
        <v>14</v>
      </c>
      <c r="Y152" s="27">
        <f t="shared" si="31"/>
        <v>14</v>
      </c>
      <c r="AA152" s="18" t="s">
        <v>24</v>
      </c>
      <c r="AB152" s="18" t="s">
        <v>25</v>
      </c>
      <c r="AC152" s="18" t="s">
        <v>26</v>
      </c>
      <c r="AD152" s="18" t="s">
        <v>27</v>
      </c>
      <c r="AG152" s="18" t="s">
        <v>42</v>
      </c>
      <c r="AH152" s="22">
        <f>E168</f>
        <v>2938</v>
      </c>
      <c r="AI152" s="18"/>
    </row>
    <row r="153" spans="3:35" x14ac:dyDescent="0.25">
      <c r="C153" s="26">
        <v>1</v>
      </c>
      <c r="D153" s="18" t="s">
        <v>142</v>
      </c>
      <c r="E153" s="27">
        <v>270</v>
      </c>
      <c r="F153" s="27">
        <v>10</v>
      </c>
      <c r="G153" s="27">
        <f t="shared" si="33"/>
        <v>27</v>
      </c>
      <c r="I153" s="18"/>
      <c r="J153" s="18"/>
      <c r="K153" s="27">
        <v>0</v>
      </c>
      <c r="L153" s="26"/>
      <c r="M153" s="27" t="e">
        <f t="shared" si="32"/>
        <v>#DIV/0!</v>
      </c>
      <c r="P153" s="18"/>
      <c r="Q153" s="18"/>
      <c r="R153" s="27">
        <v>0</v>
      </c>
      <c r="S153" s="27">
        <f t="shared" si="30"/>
        <v>0</v>
      </c>
      <c r="U153" s="18">
        <v>1</v>
      </c>
      <c r="V153" s="18" t="s">
        <v>209</v>
      </c>
      <c r="W153" s="18"/>
      <c r="X153" s="27">
        <v>17</v>
      </c>
      <c r="Y153" s="27">
        <f t="shared" si="31"/>
        <v>17</v>
      </c>
      <c r="AA153" s="18">
        <v>1</v>
      </c>
      <c r="AB153" s="18" t="s">
        <v>210</v>
      </c>
      <c r="AC153" s="27">
        <v>100</v>
      </c>
      <c r="AD153" s="27">
        <f t="shared" ref="AD153:AD158" si="34">AA153*AC153</f>
        <v>100</v>
      </c>
      <c r="AG153" s="21" t="s">
        <v>46</v>
      </c>
      <c r="AH153" s="22">
        <f>K168</f>
        <v>163</v>
      </c>
      <c r="AI153" s="18"/>
    </row>
    <row r="154" spans="3:35" x14ac:dyDescent="0.25">
      <c r="C154" s="26">
        <v>1</v>
      </c>
      <c r="D154" s="18" t="s">
        <v>143</v>
      </c>
      <c r="E154" s="27">
        <v>49</v>
      </c>
      <c r="F154" s="27">
        <v>1</v>
      </c>
      <c r="G154" s="27">
        <f t="shared" si="33"/>
        <v>49</v>
      </c>
      <c r="I154" s="18"/>
      <c r="J154" s="18"/>
      <c r="K154" s="27">
        <v>0</v>
      </c>
      <c r="L154" s="26"/>
      <c r="M154" s="27" t="e">
        <f t="shared" si="32"/>
        <v>#DIV/0!</v>
      </c>
      <c r="P154" s="18"/>
      <c r="Q154" s="18"/>
      <c r="R154" s="27">
        <v>0</v>
      </c>
      <c r="S154" s="27">
        <f t="shared" si="30"/>
        <v>0</v>
      </c>
      <c r="U154" s="18"/>
      <c r="V154" s="18"/>
      <c r="W154" s="18"/>
      <c r="X154" s="27"/>
      <c r="Y154" s="27"/>
      <c r="AA154" s="18"/>
      <c r="AB154" s="18"/>
      <c r="AC154" s="27">
        <v>0</v>
      </c>
      <c r="AD154" s="27">
        <f t="shared" si="34"/>
        <v>0</v>
      </c>
      <c r="AG154" s="18" t="s">
        <v>50</v>
      </c>
      <c r="AH154" s="27">
        <v>700</v>
      </c>
      <c r="AI154" s="18"/>
    </row>
    <row r="155" spans="3:35" x14ac:dyDescent="0.25">
      <c r="C155" s="26">
        <v>1</v>
      </c>
      <c r="D155" s="18" t="s">
        <v>144</v>
      </c>
      <c r="E155" s="27">
        <v>330</v>
      </c>
      <c r="F155" s="27">
        <v>4</v>
      </c>
      <c r="G155" s="27">
        <f t="shared" si="33"/>
        <v>82.5</v>
      </c>
      <c r="I155" s="18"/>
      <c r="J155" s="18"/>
      <c r="K155" s="27">
        <v>0</v>
      </c>
      <c r="L155" s="26"/>
      <c r="M155" s="27" t="e">
        <f t="shared" si="32"/>
        <v>#DIV/0!</v>
      </c>
      <c r="P155" s="18"/>
      <c r="Q155" s="18"/>
      <c r="R155" s="27">
        <v>0</v>
      </c>
      <c r="S155" s="27">
        <f t="shared" si="30"/>
        <v>0</v>
      </c>
      <c r="U155" s="18"/>
      <c r="V155" s="18"/>
      <c r="W155" s="18"/>
      <c r="X155" s="27">
        <v>0</v>
      </c>
      <c r="Y155" s="27">
        <f t="shared" si="31"/>
        <v>0</v>
      </c>
      <c r="AA155" s="18"/>
      <c r="AB155" s="18"/>
      <c r="AC155" s="27">
        <v>0</v>
      </c>
      <c r="AD155" s="27">
        <f t="shared" si="34"/>
        <v>0</v>
      </c>
      <c r="AG155" s="21" t="s">
        <v>52</v>
      </c>
      <c r="AH155" s="27">
        <v>0</v>
      </c>
      <c r="AI155" s="18"/>
    </row>
    <row r="156" spans="3:35" x14ac:dyDescent="0.25">
      <c r="C156" s="26">
        <v>1</v>
      </c>
      <c r="D156" s="18" t="s">
        <v>145</v>
      </c>
      <c r="E156" s="27">
        <v>1118</v>
      </c>
      <c r="F156" s="27">
        <v>10</v>
      </c>
      <c r="G156" s="27">
        <f t="shared" si="33"/>
        <v>111.8</v>
      </c>
      <c r="I156" s="18"/>
      <c r="J156" s="18"/>
      <c r="K156" s="27">
        <v>0</v>
      </c>
      <c r="L156" s="26"/>
      <c r="M156" s="27" t="e">
        <f t="shared" si="32"/>
        <v>#DIV/0!</v>
      </c>
      <c r="P156" s="18"/>
      <c r="Q156" s="18"/>
      <c r="R156" s="27">
        <v>0</v>
      </c>
      <c r="S156" s="27">
        <f t="shared" si="30"/>
        <v>0</v>
      </c>
      <c r="U156" s="18"/>
      <c r="V156" s="18"/>
      <c r="W156" s="18"/>
      <c r="X156" s="27">
        <v>0</v>
      </c>
      <c r="Y156" s="27">
        <f t="shared" si="31"/>
        <v>0</v>
      </c>
      <c r="AA156" s="18"/>
      <c r="AB156" s="18"/>
      <c r="AC156" s="27">
        <v>0</v>
      </c>
      <c r="AD156" s="27">
        <f t="shared" si="34"/>
        <v>0</v>
      </c>
      <c r="AG156" s="18" t="s">
        <v>54</v>
      </c>
      <c r="AH156" s="27">
        <v>0</v>
      </c>
      <c r="AI156" s="18"/>
    </row>
    <row r="157" spans="3:35" x14ac:dyDescent="0.25">
      <c r="C157" s="26">
        <v>1</v>
      </c>
      <c r="D157" s="18" t="s">
        <v>208</v>
      </c>
      <c r="E157" s="27">
        <v>860</v>
      </c>
      <c r="F157" s="27">
        <v>2</v>
      </c>
      <c r="G157" s="27">
        <f t="shared" si="33"/>
        <v>430</v>
      </c>
      <c r="I157" s="18"/>
      <c r="J157" s="18"/>
      <c r="K157" s="27">
        <v>0</v>
      </c>
      <c r="L157" s="26"/>
      <c r="M157" s="27" t="e">
        <f t="shared" si="32"/>
        <v>#DIV/0!</v>
      </c>
      <c r="P157" s="18"/>
      <c r="Q157" s="18"/>
      <c r="R157" s="27">
        <v>0</v>
      </c>
      <c r="S157" s="27">
        <f t="shared" si="30"/>
        <v>0</v>
      </c>
      <c r="U157" s="18"/>
      <c r="V157" s="18"/>
      <c r="W157" s="18"/>
      <c r="X157" s="27">
        <v>0</v>
      </c>
      <c r="Y157" s="27">
        <f t="shared" si="31"/>
        <v>0</v>
      </c>
      <c r="AA157" s="18"/>
      <c r="AB157" s="18"/>
      <c r="AC157" s="27">
        <v>0</v>
      </c>
      <c r="AD157" s="27">
        <f t="shared" si="34"/>
        <v>0</v>
      </c>
      <c r="AG157" s="21" t="s">
        <v>56</v>
      </c>
      <c r="AH157" s="27">
        <v>60</v>
      </c>
      <c r="AI157" s="18"/>
    </row>
    <row r="158" spans="3:35" x14ac:dyDescent="0.25">
      <c r="C158" s="26"/>
      <c r="D158" s="18"/>
      <c r="E158" s="27">
        <v>0</v>
      </c>
      <c r="F158" s="27">
        <v>0</v>
      </c>
      <c r="G158" s="27" t="e">
        <f t="shared" si="33"/>
        <v>#DIV/0!</v>
      </c>
      <c r="I158" s="18"/>
      <c r="J158" s="18"/>
      <c r="K158" s="27">
        <v>0</v>
      </c>
      <c r="L158" s="26"/>
      <c r="M158" s="27" t="e">
        <f t="shared" si="32"/>
        <v>#DIV/0!</v>
      </c>
      <c r="P158" s="18"/>
      <c r="Q158" s="18"/>
      <c r="R158" s="27">
        <v>0</v>
      </c>
      <c r="S158" s="27">
        <f t="shared" si="30"/>
        <v>0</v>
      </c>
      <c r="U158" s="18"/>
      <c r="V158" s="18"/>
      <c r="W158" s="18"/>
      <c r="X158" s="27">
        <v>0</v>
      </c>
      <c r="Y158" s="27">
        <f t="shared" si="31"/>
        <v>0</v>
      </c>
      <c r="AA158" s="18"/>
      <c r="AB158" s="18"/>
      <c r="AC158" s="27">
        <v>0</v>
      </c>
      <c r="AD158" s="27">
        <f t="shared" si="34"/>
        <v>0</v>
      </c>
      <c r="AG158" s="18" t="s">
        <v>58</v>
      </c>
      <c r="AH158" s="27">
        <v>208</v>
      </c>
      <c r="AI158" s="18"/>
    </row>
    <row r="159" spans="3:35" x14ac:dyDescent="0.25">
      <c r="C159" s="26"/>
      <c r="D159" s="18"/>
      <c r="E159" s="27">
        <v>0</v>
      </c>
      <c r="F159" s="27">
        <v>0</v>
      </c>
      <c r="G159" s="27" t="e">
        <f t="shared" si="33"/>
        <v>#DIV/0!</v>
      </c>
      <c r="I159" s="18"/>
      <c r="J159" s="18"/>
      <c r="K159" s="27">
        <v>0</v>
      </c>
      <c r="L159" s="26"/>
      <c r="M159" s="27" t="e">
        <f t="shared" si="32"/>
        <v>#DIV/0!</v>
      </c>
      <c r="P159" s="18"/>
      <c r="Q159" s="18"/>
      <c r="R159" s="27">
        <v>0</v>
      </c>
      <c r="S159" s="27">
        <f t="shared" si="30"/>
        <v>0</v>
      </c>
      <c r="U159" s="18"/>
      <c r="V159" s="18"/>
      <c r="W159" s="18"/>
      <c r="X159" s="27">
        <v>0</v>
      </c>
      <c r="Y159" s="27">
        <f t="shared" si="31"/>
        <v>0</v>
      </c>
      <c r="AA159" s="18" t="s">
        <v>59</v>
      </c>
      <c r="AB159" s="18"/>
      <c r="AC159" s="27"/>
      <c r="AD159" s="19">
        <f>SUM(AD153:AD158)</f>
        <v>100</v>
      </c>
      <c r="AG159" s="21" t="s">
        <v>60</v>
      </c>
      <c r="AH159" s="27">
        <v>0</v>
      </c>
      <c r="AI159" s="18"/>
    </row>
    <row r="160" spans="3:35" x14ac:dyDescent="0.25">
      <c r="C160" s="26"/>
      <c r="D160" s="18"/>
      <c r="E160" s="27">
        <v>0</v>
      </c>
      <c r="F160" s="27">
        <v>0</v>
      </c>
      <c r="G160" s="27" t="e">
        <f t="shared" si="33"/>
        <v>#DIV/0!</v>
      </c>
      <c r="I160" s="18"/>
      <c r="J160" s="18"/>
      <c r="K160" s="27">
        <v>0</v>
      </c>
      <c r="L160" s="26"/>
      <c r="M160" s="27" t="e">
        <f t="shared" si="32"/>
        <v>#DIV/0!</v>
      </c>
      <c r="P160" s="18"/>
      <c r="Q160" s="18"/>
      <c r="R160" s="27">
        <v>0</v>
      </c>
      <c r="S160" s="27">
        <f t="shared" si="30"/>
        <v>0</v>
      </c>
      <c r="U160" s="18"/>
      <c r="V160" s="18"/>
      <c r="W160" s="18"/>
      <c r="X160" s="27">
        <v>0</v>
      </c>
      <c r="Y160" s="27">
        <f t="shared" si="31"/>
        <v>0</v>
      </c>
      <c r="AA160" s="46"/>
      <c r="AB160" s="46"/>
      <c r="AC160" s="47"/>
      <c r="AD160" s="47"/>
      <c r="AG160" s="18" t="s">
        <v>61</v>
      </c>
      <c r="AH160" s="27">
        <v>0</v>
      </c>
      <c r="AI160" s="18"/>
    </row>
    <row r="161" spans="3:35" x14ac:dyDescent="0.25">
      <c r="C161" s="26"/>
      <c r="D161" s="18"/>
      <c r="E161" s="27">
        <v>0</v>
      </c>
      <c r="F161" s="27">
        <v>0</v>
      </c>
      <c r="G161" s="27" t="e">
        <f t="shared" si="33"/>
        <v>#DIV/0!</v>
      </c>
      <c r="I161" s="18"/>
      <c r="J161" s="18"/>
      <c r="K161" s="27">
        <v>0</v>
      </c>
      <c r="L161" s="26"/>
      <c r="M161" s="27" t="e">
        <f t="shared" si="32"/>
        <v>#DIV/0!</v>
      </c>
      <c r="P161" s="18"/>
      <c r="Q161" s="18"/>
      <c r="R161" s="27">
        <v>0</v>
      </c>
      <c r="S161" s="27">
        <f t="shared" si="30"/>
        <v>0</v>
      </c>
      <c r="U161" s="18"/>
      <c r="V161" s="18"/>
      <c r="W161" s="18"/>
      <c r="X161" s="27">
        <v>0</v>
      </c>
      <c r="Y161" s="27">
        <f t="shared" si="31"/>
        <v>0</v>
      </c>
      <c r="AA161" s="46"/>
      <c r="AB161" s="46"/>
      <c r="AC161" s="47"/>
      <c r="AD161" s="47"/>
      <c r="AG161" s="21" t="s">
        <v>62</v>
      </c>
      <c r="AH161" s="27">
        <v>0</v>
      </c>
      <c r="AI161" s="18"/>
    </row>
    <row r="162" spans="3:35" x14ac:dyDescent="0.25">
      <c r="C162" s="26"/>
      <c r="D162" s="18"/>
      <c r="E162" s="27">
        <f t="shared" ref="E162:E167" si="35">SUM(X162:Z162)</f>
        <v>0</v>
      </c>
      <c r="F162" s="27">
        <v>0</v>
      </c>
      <c r="G162" s="27" t="e">
        <f t="shared" si="33"/>
        <v>#DIV/0!</v>
      </c>
      <c r="I162" s="18"/>
      <c r="J162" s="18"/>
      <c r="K162" s="27">
        <v>0</v>
      </c>
      <c r="L162" s="26"/>
      <c r="M162" s="27" t="e">
        <f t="shared" si="32"/>
        <v>#DIV/0!</v>
      </c>
      <c r="P162" s="18"/>
      <c r="Q162" s="18"/>
      <c r="R162" s="27">
        <v>0</v>
      </c>
      <c r="S162" s="27">
        <f t="shared" si="30"/>
        <v>0</v>
      </c>
      <c r="U162" s="18"/>
      <c r="V162" s="18"/>
      <c r="W162" s="18"/>
      <c r="X162" s="27">
        <v>0</v>
      </c>
      <c r="Y162" s="27">
        <f t="shared" si="31"/>
        <v>0</v>
      </c>
      <c r="AA162" s="48" t="s">
        <v>146</v>
      </c>
      <c r="AB162" s="49"/>
      <c r="AC162" s="49"/>
      <c r="AG162" s="18" t="s">
        <v>65</v>
      </c>
      <c r="AH162" s="27">
        <v>0</v>
      </c>
      <c r="AI162" s="18"/>
    </row>
    <row r="163" spans="3:35" x14ac:dyDescent="0.25">
      <c r="C163" s="26"/>
      <c r="D163" s="18"/>
      <c r="E163" s="27">
        <f t="shared" si="35"/>
        <v>0</v>
      </c>
      <c r="F163" s="27">
        <v>0</v>
      </c>
      <c r="G163" s="27" t="e">
        <f t="shared" si="33"/>
        <v>#DIV/0!</v>
      </c>
      <c r="I163" s="18"/>
      <c r="J163" s="18"/>
      <c r="K163" s="27">
        <v>0</v>
      </c>
      <c r="L163" s="26"/>
      <c r="M163" s="27" t="e">
        <f t="shared" si="32"/>
        <v>#DIV/0!</v>
      </c>
      <c r="P163" s="18"/>
      <c r="Q163" s="18"/>
      <c r="R163" s="27">
        <v>0</v>
      </c>
      <c r="S163" s="27">
        <f t="shared" si="30"/>
        <v>0</v>
      </c>
      <c r="U163" s="18"/>
      <c r="V163" s="18"/>
      <c r="W163" s="18"/>
      <c r="X163" s="27">
        <v>0</v>
      </c>
      <c r="Y163" s="27">
        <f t="shared" si="31"/>
        <v>0</v>
      </c>
      <c r="AA163" s="18" t="s">
        <v>24</v>
      </c>
      <c r="AB163" s="18" t="s">
        <v>25</v>
      </c>
      <c r="AC163" s="18" t="s">
        <v>26</v>
      </c>
      <c r="AD163" s="18" t="s">
        <v>27</v>
      </c>
      <c r="AG163" s="21" t="s">
        <v>67</v>
      </c>
      <c r="AH163" s="27">
        <v>0</v>
      </c>
      <c r="AI163" s="18"/>
    </row>
    <row r="164" spans="3:35" x14ac:dyDescent="0.25">
      <c r="C164" s="26"/>
      <c r="D164" s="18"/>
      <c r="E164" s="27">
        <f t="shared" si="35"/>
        <v>0</v>
      </c>
      <c r="F164" s="27">
        <v>0</v>
      </c>
      <c r="G164" s="27" t="e">
        <f t="shared" si="33"/>
        <v>#DIV/0!</v>
      </c>
      <c r="I164" s="18"/>
      <c r="J164" s="18"/>
      <c r="K164" s="27">
        <v>0</v>
      </c>
      <c r="L164" s="26"/>
      <c r="M164" s="27" t="e">
        <f t="shared" si="32"/>
        <v>#DIV/0!</v>
      </c>
      <c r="P164" s="18"/>
      <c r="Q164" s="18"/>
      <c r="R164" s="27">
        <v>0</v>
      </c>
      <c r="S164" s="27">
        <f t="shared" si="30"/>
        <v>0</v>
      </c>
      <c r="U164" s="18"/>
      <c r="V164" s="18"/>
      <c r="W164" s="18"/>
      <c r="X164" s="27">
        <v>0</v>
      </c>
      <c r="Y164" s="27">
        <f t="shared" si="31"/>
        <v>0</v>
      </c>
      <c r="AA164" s="18"/>
      <c r="AB164" s="18"/>
      <c r="AC164" s="27">
        <v>0</v>
      </c>
      <c r="AD164" s="27">
        <f>AA164*AC164</f>
        <v>0</v>
      </c>
      <c r="AG164" s="18" t="s">
        <v>68</v>
      </c>
      <c r="AH164" s="27">
        <v>0</v>
      </c>
      <c r="AI164" s="18"/>
    </row>
    <row r="165" spans="3:35" x14ac:dyDescent="0.25">
      <c r="C165" s="26"/>
      <c r="D165" s="18"/>
      <c r="E165" s="27">
        <f t="shared" si="35"/>
        <v>0</v>
      </c>
      <c r="F165" s="27">
        <v>0</v>
      </c>
      <c r="G165" s="27" t="e">
        <f t="shared" si="33"/>
        <v>#DIV/0!</v>
      </c>
      <c r="I165" s="18"/>
      <c r="J165" s="18"/>
      <c r="K165" s="27">
        <v>0</v>
      </c>
      <c r="L165" s="26"/>
      <c r="M165" s="27" t="e">
        <f t="shared" si="32"/>
        <v>#DIV/0!</v>
      </c>
      <c r="P165" s="18"/>
      <c r="Q165" s="18"/>
      <c r="R165" s="27">
        <v>0</v>
      </c>
      <c r="S165" s="27">
        <f t="shared" si="30"/>
        <v>0</v>
      </c>
      <c r="U165" s="18"/>
      <c r="V165" s="18"/>
      <c r="W165" s="18"/>
      <c r="X165" s="27">
        <v>0</v>
      </c>
      <c r="Y165" s="27">
        <f t="shared" si="31"/>
        <v>0</v>
      </c>
      <c r="AA165" s="18"/>
      <c r="AB165" s="18"/>
      <c r="AC165" s="27">
        <v>0</v>
      </c>
      <c r="AD165" s="27">
        <f>AA165*AC165</f>
        <v>0</v>
      </c>
      <c r="AG165" s="21" t="s">
        <v>69</v>
      </c>
      <c r="AH165" s="55">
        <v>0</v>
      </c>
      <c r="AI165" s="18"/>
    </row>
    <row r="166" spans="3:35" x14ac:dyDescent="0.25">
      <c r="C166" s="26"/>
      <c r="D166" s="18"/>
      <c r="E166" s="27">
        <f t="shared" si="35"/>
        <v>0</v>
      </c>
      <c r="F166" s="27">
        <v>0</v>
      </c>
      <c r="G166" s="27" t="e">
        <f t="shared" si="33"/>
        <v>#DIV/0!</v>
      </c>
      <c r="I166" s="18"/>
      <c r="J166" s="18"/>
      <c r="K166" s="27">
        <v>0</v>
      </c>
      <c r="L166" s="26"/>
      <c r="M166" s="27" t="e">
        <f t="shared" si="32"/>
        <v>#DIV/0!</v>
      </c>
      <c r="P166" s="18"/>
      <c r="Q166" s="18"/>
      <c r="R166" s="27">
        <v>0</v>
      </c>
      <c r="S166" s="27">
        <f t="shared" si="30"/>
        <v>0</v>
      </c>
      <c r="U166" s="18"/>
      <c r="V166" s="18"/>
      <c r="W166" s="18"/>
      <c r="X166" s="27">
        <v>0</v>
      </c>
      <c r="Y166" s="27">
        <f t="shared" si="31"/>
        <v>0</v>
      </c>
      <c r="AA166" s="18"/>
      <c r="AB166" s="18"/>
      <c r="AC166" s="27">
        <v>0</v>
      </c>
      <c r="AD166" s="27">
        <f>AA166*AC166</f>
        <v>0</v>
      </c>
      <c r="AG166" s="56" t="s">
        <v>70</v>
      </c>
      <c r="AH166" s="55">
        <v>0</v>
      </c>
      <c r="AI166" s="18"/>
    </row>
    <row r="167" spans="3:35" x14ac:dyDescent="0.25">
      <c r="C167" s="26"/>
      <c r="D167" s="18"/>
      <c r="E167" s="27">
        <f t="shared" si="35"/>
        <v>0</v>
      </c>
      <c r="F167" s="27">
        <v>0</v>
      </c>
      <c r="G167" s="27" t="e">
        <f t="shared" si="33"/>
        <v>#DIV/0!</v>
      </c>
      <c r="I167" s="18"/>
      <c r="J167" s="18"/>
      <c r="K167" s="27">
        <v>0</v>
      </c>
      <c r="L167" s="26"/>
      <c r="M167" s="27" t="e">
        <f t="shared" si="32"/>
        <v>#DIV/0!</v>
      </c>
      <c r="P167" s="18"/>
      <c r="Q167" s="18"/>
      <c r="R167" s="27">
        <v>0</v>
      </c>
      <c r="S167" s="27">
        <f t="shared" si="30"/>
        <v>0</v>
      </c>
      <c r="U167" s="18"/>
      <c r="V167" s="18"/>
      <c r="W167" s="18"/>
      <c r="X167" s="27">
        <v>0</v>
      </c>
      <c r="Y167" s="27">
        <f t="shared" si="31"/>
        <v>0</v>
      </c>
      <c r="AA167" s="18"/>
      <c r="AB167" s="18"/>
      <c r="AC167" s="27">
        <v>0</v>
      </c>
      <c r="AD167" s="27">
        <f>AA167*AC167</f>
        <v>0</v>
      </c>
      <c r="AG167" s="21" t="s">
        <v>71</v>
      </c>
      <c r="AH167" s="27">
        <v>0</v>
      </c>
      <c r="AI167" s="18"/>
    </row>
    <row r="168" spans="3:35" x14ac:dyDescent="0.25">
      <c r="C168" s="18" t="s">
        <v>59</v>
      </c>
      <c r="D168" s="18"/>
      <c r="E168" s="57">
        <f>SUM(E150:E167)</f>
        <v>2938</v>
      </c>
      <c r="F168" s="18"/>
      <c r="G168" s="18"/>
      <c r="I168" s="18" t="s">
        <v>59</v>
      </c>
      <c r="J168" s="18"/>
      <c r="K168" s="22">
        <f>SUM(K150:K167)</f>
        <v>163</v>
      </c>
      <c r="L168" s="26"/>
      <c r="M168" s="18"/>
      <c r="P168" s="83" t="s">
        <v>27</v>
      </c>
      <c r="Q168" s="84"/>
      <c r="R168" s="85"/>
      <c r="S168" s="58">
        <f>SUM(S150:S167)</f>
        <v>64</v>
      </c>
      <c r="U168" s="83" t="s">
        <v>27</v>
      </c>
      <c r="V168" s="84"/>
      <c r="W168" s="84"/>
      <c r="X168" s="85"/>
      <c r="Y168" s="58">
        <f>SUM(Y150:Y167)</f>
        <v>63</v>
      </c>
      <c r="AA168" s="18"/>
      <c r="AB168" s="18"/>
      <c r="AC168" s="27">
        <v>0</v>
      </c>
      <c r="AD168" s="27">
        <f>SUM(AD164:AD167)</f>
        <v>0</v>
      </c>
      <c r="AG168" s="18" t="s">
        <v>72</v>
      </c>
      <c r="AH168" s="27">
        <v>0</v>
      </c>
      <c r="AI168" s="18"/>
    </row>
    <row r="169" spans="3:35" x14ac:dyDescent="0.25">
      <c r="AG169" s="60" t="s">
        <v>73</v>
      </c>
      <c r="AH169" s="61">
        <f>AH149-AH150-AH151-AH152-AH153-AH154-AH155-AH156-AH157-AH158-AH159-AH160-AH161-AH162-AH163-AH164-AH165-AH166-AH167-AH168</f>
        <v>3766</v>
      </c>
      <c r="AI169" s="60"/>
    </row>
    <row r="173" spans="3:35" x14ac:dyDescent="0.25">
      <c r="C173" t="s">
        <v>147</v>
      </c>
      <c r="AA173" t="str">
        <f>C173</f>
        <v>FECHA: DOMINGO 12 DE ABRIL</v>
      </c>
    </row>
    <row r="174" spans="3:35" x14ac:dyDescent="0.25">
      <c r="C174" s="43" t="s">
        <v>76</v>
      </c>
      <c r="D174" s="65"/>
      <c r="P174" s="18" t="str">
        <f>C173</f>
        <v>FECHA: DOMINGO 12 DE ABRIL</v>
      </c>
      <c r="U174" s="18" t="str">
        <f>P174</f>
        <v>FECHA: DOMINGO 12 DE ABRIL</v>
      </c>
      <c r="AA174" s="24" t="s">
        <v>3</v>
      </c>
      <c r="AB174" s="25"/>
      <c r="AG174" s="66" t="str">
        <f>AA173</f>
        <v>FECHA: DOMINGO 12 DE ABRIL</v>
      </c>
    </row>
    <row r="175" spans="3:35" x14ac:dyDescent="0.25">
      <c r="C175" s="74" t="s">
        <v>7</v>
      </c>
      <c r="D175" s="75"/>
      <c r="E175" s="75"/>
      <c r="F175" s="75"/>
      <c r="G175" s="76"/>
      <c r="I175" s="77" t="s">
        <v>8</v>
      </c>
      <c r="J175" s="78"/>
      <c r="K175" s="78"/>
      <c r="L175" s="78"/>
      <c r="M175" s="79"/>
      <c r="P175" s="74" t="s">
        <v>9</v>
      </c>
      <c r="Q175" s="75"/>
      <c r="R175" s="75"/>
      <c r="S175" s="76"/>
      <c r="U175" s="80" t="s">
        <v>77</v>
      </c>
      <c r="V175" s="81"/>
      <c r="W175" s="81"/>
      <c r="X175" s="81"/>
      <c r="Y175" s="82"/>
      <c r="AA175" s="10" t="s">
        <v>11</v>
      </c>
      <c r="AB175" s="11" t="s">
        <v>12</v>
      </c>
      <c r="AC175" s="12" t="s">
        <v>13</v>
      </c>
      <c r="AD175" s="13" t="s">
        <v>14</v>
      </c>
      <c r="AG175" s="14" t="s">
        <v>15</v>
      </c>
      <c r="AH175" s="15" t="s">
        <v>16</v>
      </c>
      <c r="AI175" s="16" t="s">
        <v>17</v>
      </c>
    </row>
    <row r="176" spans="3:35" x14ac:dyDescent="0.25">
      <c r="C176" s="18" t="s">
        <v>19</v>
      </c>
      <c r="D176" s="18" t="s">
        <v>20</v>
      </c>
      <c r="E176" s="18" t="s">
        <v>21</v>
      </c>
      <c r="F176" s="18" t="s">
        <v>22</v>
      </c>
      <c r="G176" s="18" t="s">
        <v>23</v>
      </c>
      <c r="I176" s="18" t="s">
        <v>19</v>
      </c>
      <c r="J176" s="18" t="s">
        <v>20</v>
      </c>
      <c r="K176" s="18" t="s">
        <v>21</v>
      </c>
      <c r="L176" s="18" t="s">
        <v>22</v>
      </c>
      <c r="M176" s="18" t="s">
        <v>23</v>
      </c>
      <c r="P176" s="18" t="s">
        <v>24</v>
      </c>
      <c r="Q176" s="18" t="s">
        <v>25</v>
      </c>
      <c r="R176" s="18" t="s">
        <v>26</v>
      </c>
      <c r="S176" s="18" t="s">
        <v>27</v>
      </c>
      <c r="U176" s="18" t="s">
        <v>24</v>
      </c>
      <c r="V176" s="18" t="s">
        <v>25</v>
      </c>
      <c r="W176" s="18"/>
      <c r="X176" s="18" t="s">
        <v>26</v>
      </c>
      <c r="Y176" s="18" t="s">
        <v>27</v>
      </c>
      <c r="AA176" s="13" t="s">
        <v>57</v>
      </c>
      <c r="AB176" s="19">
        <v>4305</v>
      </c>
      <c r="AC176" s="20">
        <v>3596</v>
      </c>
      <c r="AD176" s="19">
        <f>AB176+AC176</f>
        <v>7901</v>
      </c>
      <c r="AG176" s="21" t="s">
        <v>29</v>
      </c>
      <c r="AH176" s="22">
        <f>AD176</f>
        <v>7901</v>
      </c>
      <c r="AI176" s="18"/>
    </row>
    <row r="177" spans="3:35" x14ac:dyDescent="0.25">
      <c r="C177" s="26"/>
      <c r="D177" s="18"/>
      <c r="E177" s="27">
        <v>0</v>
      </c>
      <c r="F177" s="27">
        <v>0</v>
      </c>
      <c r="G177" s="27" t="e">
        <f>E177/F177</f>
        <v>#DIV/0!</v>
      </c>
      <c r="I177" s="18"/>
      <c r="J177" s="18"/>
      <c r="K177" s="27">
        <v>0</v>
      </c>
      <c r="L177" s="28"/>
      <c r="M177" s="27" t="e">
        <f>K177/L177</f>
        <v>#DIV/0!</v>
      </c>
      <c r="P177" s="18">
        <v>2</v>
      </c>
      <c r="Q177" s="18" t="s">
        <v>87</v>
      </c>
      <c r="R177" s="27">
        <v>17</v>
      </c>
      <c r="S177" s="27">
        <f t="shared" ref="S177:S194" si="36">P177*R177</f>
        <v>34</v>
      </c>
      <c r="U177" s="18">
        <v>1</v>
      </c>
      <c r="V177" s="18" t="s">
        <v>206</v>
      </c>
      <c r="W177" s="18"/>
      <c r="X177" s="27">
        <v>19</v>
      </c>
      <c r="Y177" s="27">
        <f t="shared" ref="Y177:Y194" si="37">U177*X177</f>
        <v>19</v>
      </c>
      <c r="AG177" s="18" t="s">
        <v>9</v>
      </c>
      <c r="AH177" s="22">
        <f>S195</f>
        <v>91</v>
      </c>
      <c r="AI177" s="18"/>
    </row>
    <row r="178" spans="3:35" x14ac:dyDescent="0.25">
      <c r="C178" s="26"/>
      <c r="D178" s="18"/>
      <c r="E178" s="27">
        <v>0</v>
      </c>
      <c r="F178" s="27">
        <v>0</v>
      </c>
      <c r="G178" s="27" t="e">
        <f>E178/F178</f>
        <v>#DIV/0!</v>
      </c>
      <c r="I178" s="18"/>
      <c r="J178" s="18"/>
      <c r="K178" s="27">
        <v>0</v>
      </c>
      <c r="L178" s="28"/>
      <c r="M178" s="27" t="e">
        <f t="shared" ref="M178:M194" si="38">K178/L178</f>
        <v>#DIV/0!</v>
      </c>
      <c r="P178" s="18">
        <v>1</v>
      </c>
      <c r="Q178" s="18" t="s">
        <v>85</v>
      </c>
      <c r="R178" s="27">
        <v>15</v>
      </c>
      <c r="S178" s="27">
        <f t="shared" si="36"/>
        <v>15</v>
      </c>
      <c r="U178" s="18">
        <v>1</v>
      </c>
      <c r="V178" s="18" t="s">
        <v>127</v>
      </c>
      <c r="W178" s="18"/>
      <c r="X178" s="27">
        <v>3.5</v>
      </c>
      <c r="Y178" s="27">
        <f t="shared" si="37"/>
        <v>3.5</v>
      </c>
      <c r="AA178" s="35" t="s">
        <v>38</v>
      </c>
      <c r="AB178" s="36"/>
      <c r="AG178" s="21" t="s">
        <v>10</v>
      </c>
      <c r="AH178" s="22">
        <f>Y195</f>
        <v>22.5</v>
      </c>
      <c r="AI178" s="18"/>
    </row>
    <row r="179" spans="3:35" x14ac:dyDescent="0.25">
      <c r="C179" s="26"/>
      <c r="D179" s="18"/>
      <c r="E179" s="27">
        <v>0</v>
      </c>
      <c r="F179" s="27">
        <v>0</v>
      </c>
      <c r="G179" s="27" t="e">
        <f t="shared" ref="G179:G194" si="39">E179/F179</f>
        <v>#DIV/0!</v>
      </c>
      <c r="I179" s="18"/>
      <c r="J179" s="18"/>
      <c r="K179" s="27">
        <v>0</v>
      </c>
      <c r="L179" s="26"/>
      <c r="M179" s="27" t="e">
        <f t="shared" si="38"/>
        <v>#DIV/0!</v>
      </c>
      <c r="P179" s="18">
        <v>12</v>
      </c>
      <c r="Q179" s="18" t="s">
        <v>79</v>
      </c>
      <c r="R179" s="27">
        <v>3.5</v>
      </c>
      <c r="S179" s="27">
        <f t="shared" si="36"/>
        <v>42</v>
      </c>
      <c r="U179" s="18"/>
      <c r="V179" s="18"/>
      <c r="W179" s="18"/>
      <c r="X179" s="27">
        <v>0</v>
      </c>
      <c r="Y179" s="27">
        <f t="shared" si="37"/>
        <v>0</v>
      </c>
      <c r="AA179" s="18" t="s">
        <v>24</v>
      </c>
      <c r="AB179" s="18" t="s">
        <v>25</v>
      </c>
      <c r="AC179" s="18" t="s">
        <v>26</v>
      </c>
      <c r="AD179" s="18" t="s">
        <v>27</v>
      </c>
      <c r="AG179" s="18" t="s">
        <v>42</v>
      </c>
      <c r="AH179" s="22">
        <f>E195</f>
        <v>0</v>
      </c>
      <c r="AI179" s="18"/>
    </row>
    <row r="180" spans="3:35" x14ac:dyDescent="0.25">
      <c r="C180" s="26"/>
      <c r="D180" s="18"/>
      <c r="E180" s="27">
        <v>0</v>
      </c>
      <c r="F180" s="27">
        <v>0</v>
      </c>
      <c r="G180" s="27" t="e">
        <f t="shared" si="39"/>
        <v>#DIV/0!</v>
      </c>
      <c r="I180" s="18"/>
      <c r="J180" s="18"/>
      <c r="K180" s="27">
        <v>0</v>
      </c>
      <c r="L180" s="26"/>
      <c r="M180" s="27" t="e">
        <f t="shared" si="38"/>
        <v>#DIV/0!</v>
      </c>
      <c r="P180" s="18"/>
      <c r="Q180" s="18"/>
      <c r="R180" s="27">
        <v>0</v>
      </c>
      <c r="S180" s="27">
        <f t="shared" si="36"/>
        <v>0</v>
      </c>
      <c r="U180" s="18"/>
      <c r="V180" s="18"/>
      <c r="W180" s="18"/>
      <c r="X180" s="27">
        <v>0</v>
      </c>
      <c r="Y180" s="27">
        <f t="shared" si="37"/>
        <v>0</v>
      </c>
      <c r="AA180" s="18"/>
      <c r="AB180" s="18"/>
      <c r="AC180" s="27">
        <v>0</v>
      </c>
      <c r="AD180" s="27">
        <f t="shared" ref="AD180:AD185" si="40">AA180*AC180</f>
        <v>0</v>
      </c>
      <c r="AG180" s="21" t="s">
        <v>46</v>
      </c>
      <c r="AH180" s="22">
        <f>K195</f>
        <v>0</v>
      </c>
      <c r="AI180" s="18"/>
    </row>
    <row r="181" spans="3:35" x14ac:dyDescent="0.25">
      <c r="C181" s="26"/>
      <c r="D181" s="18"/>
      <c r="E181" s="27">
        <v>0</v>
      </c>
      <c r="F181" s="27">
        <v>0</v>
      </c>
      <c r="G181" s="27" t="e">
        <f t="shared" si="39"/>
        <v>#DIV/0!</v>
      </c>
      <c r="I181" s="18"/>
      <c r="J181" s="18"/>
      <c r="K181" s="27">
        <v>0</v>
      </c>
      <c r="L181" s="26"/>
      <c r="M181" s="27" t="e">
        <f t="shared" si="38"/>
        <v>#DIV/0!</v>
      </c>
      <c r="P181" s="18"/>
      <c r="Q181" s="18"/>
      <c r="R181" s="27">
        <v>0</v>
      </c>
      <c r="S181" s="27">
        <f t="shared" si="36"/>
        <v>0</v>
      </c>
      <c r="U181" s="18"/>
      <c r="V181" s="18"/>
      <c r="W181" s="18"/>
      <c r="X181" s="27">
        <v>0</v>
      </c>
      <c r="Y181" s="27">
        <f t="shared" si="37"/>
        <v>0</v>
      </c>
      <c r="AA181" s="18"/>
      <c r="AB181" s="18"/>
      <c r="AC181" s="27">
        <v>0</v>
      </c>
      <c r="AD181" s="27">
        <f t="shared" si="40"/>
        <v>0</v>
      </c>
      <c r="AG181" s="18" t="s">
        <v>50</v>
      </c>
      <c r="AH181" s="27">
        <v>0</v>
      </c>
      <c r="AI181" s="18"/>
    </row>
    <row r="182" spans="3:35" x14ac:dyDescent="0.25">
      <c r="C182" s="26"/>
      <c r="D182" s="18"/>
      <c r="E182" s="27">
        <v>0</v>
      </c>
      <c r="F182" s="27">
        <v>0</v>
      </c>
      <c r="G182" s="27" t="e">
        <f t="shared" si="39"/>
        <v>#DIV/0!</v>
      </c>
      <c r="I182" s="18"/>
      <c r="J182" s="18"/>
      <c r="K182" s="27">
        <v>0</v>
      </c>
      <c r="L182" s="26"/>
      <c r="M182" s="27" t="e">
        <f t="shared" si="38"/>
        <v>#DIV/0!</v>
      </c>
      <c r="P182" s="18"/>
      <c r="Q182" s="18"/>
      <c r="R182" s="27">
        <v>0</v>
      </c>
      <c r="S182" s="27">
        <f t="shared" si="36"/>
        <v>0</v>
      </c>
      <c r="U182" s="18"/>
      <c r="V182" s="18"/>
      <c r="W182" s="18"/>
      <c r="X182" s="27">
        <v>0</v>
      </c>
      <c r="Y182" s="27">
        <f t="shared" si="37"/>
        <v>0</v>
      </c>
      <c r="AA182" s="18"/>
      <c r="AB182" s="18"/>
      <c r="AC182" s="27">
        <v>0</v>
      </c>
      <c r="AD182" s="27">
        <f t="shared" si="40"/>
        <v>0</v>
      </c>
      <c r="AG182" s="21" t="s">
        <v>52</v>
      </c>
      <c r="AH182" s="27">
        <v>0</v>
      </c>
      <c r="AI182" s="18"/>
    </row>
    <row r="183" spans="3:35" x14ac:dyDescent="0.25">
      <c r="C183" s="26"/>
      <c r="D183" s="18"/>
      <c r="E183" s="27">
        <v>0</v>
      </c>
      <c r="F183" s="27">
        <v>0</v>
      </c>
      <c r="G183" s="27" t="e">
        <f t="shared" si="39"/>
        <v>#DIV/0!</v>
      </c>
      <c r="I183" s="18"/>
      <c r="J183" s="18"/>
      <c r="K183" s="27">
        <v>0</v>
      </c>
      <c r="L183" s="26"/>
      <c r="M183" s="27" t="e">
        <f t="shared" si="38"/>
        <v>#DIV/0!</v>
      </c>
      <c r="P183" s="18"/>
      <c r="Q183" s="18"/>
      <c r="R183" s="27">
        <v>0</v>
      </c>
      <c r="S183" s="27">
        <f t="shared" si="36"/>
        <v>0</v>
      </c>
      <c r="U183" s="18"/>
      <c r="V183" s="18"/>
      <c r="W183" s="18"/>
      <c r="X183" s="27">
        <v>0</v>
      </c>
      <c r="Y183" s="27">
        <f t="shared" si="37"/>
        <v>0</v>
      </c>
      <c r="AA183" s="18"/>
      <c r="AB183" s="18"/>
      <c r="AC183" s="27">
        <v>0</v>
      </c>
      <c r="AD183" s="27">
        <f t="shared" si="40"/>
        <v>0</v>
      </c>
      <c r="AG183" s="18" t="s">
        <v>54</v>
      </c>
      <c r="AH183" s="27">
        <f>AD195</f>
        <v>0</v>
      </c>
      <c r="AI183" s="18"/>
    </row>
    <row r="184" spans="3:35" x14ac:dyDescent="0.25">
      <c r="C184" s="26"/>
      <c r="D184" s="18"/>
      <c r="E184" s="27">
        <v>0</v>
      </c>
      <c r="F184" s="27">
        <v>0</v>
      </c>
      <c r="G184" s="27" t="e">
        <f t="shared" si="39"/>
        <v>#DIV/0!</v>
      </c>
      <c r="I184" s="18"/>
      <c r="J184" s="18"/>
      <c r="K184" s="27">
        <v>0</v>
      </c>
      <c r="L184" s="26"/>
      <c r="M184" s="27" t="e">
        <f t="shared" si="38"/>
        <v>#DIV/0!</v>
      </c>
      <c r="P184" s="18"/>
      <c r="Q184" s="18"/>
      <c r="R184" s="27">
        <v>0</v>
      </c>
      <c r="S184" s="27">
        <f t="shared" si="36"/>
        <v>0</v>
      </c>
      <c r="U184" s="18"/>
      <c r="V184" s="18"/>
      <c r="W184" s="18"/>
      <c r="X184" s="27">
        <v>0</v>
      </c>
      <c r="Y184" s="27">
        <f t="shared" si="37"/>
        <v>0</v>
      </c>
      <c r="AA184" s="18"/>
      <c r="AB184" s="18"/>
      <c r="AC184" s="27">
        <v>0</v>
      </c>
      <c r="AD184" s="27">
        <f t="shared" si="40"/>
        <v>0</v>
      </c>
      <c r="AG184" s="21" t="s">
        <v>56</v>
      </c>
      <c r="AH184" s="27">
        <v>0</v>
      </c>
      <c r="AI184" s="18"/>
    </row>
    <row r="185" spans="3:35" x14ac:dyDescent="0.25">
      <c r="C185" s="26"/>
      <c r="D185" s="18"/>
      <c r="E185" s="27">
        <v>0</v>
      </c>
      <c r="F185" s="27">
        <v>0</v>
      </c>
      <c r="G185" s="27" t="e">
        <f t="shared" si="39"/>
        <v>#DIV/0!</v>
      </c>
      <c r="I185" s="18"/>
      <c r="J185" s="18"/>
      <c r="K185" s="27">
        <v>0</v>
      </c>
      <c r="L185" s="26"/>
      <c r="M185" s="27" t="e">
        <f t="shared" si="38"/>
        <v>#DIV/0!</v>
      </c>
      <c r="P185" s="18"/>
      <c r="Q185" s="18"/>
      <c r="R185" s="27">
        <v>0</v>
      </c>
      <c r="S185" s="27">
        <f t="shared" si="36"/>
        <v>0</v>
      </c>
      <c r="U185" s="18"/>
      <c r="V185" s="18"/>
      <c r="W185" s="18"/>
      <c r="X185" s="27">
        <v>0</v>
      </c>
      <c r="Y185" s="27">
        <f t="shared" si="37"/>
        <v>0</v>
      </c>
      <c r="AA185" s="18"/>
      <c r="AB185" s="18"/>
      <c r="AC185" s="27">
        <v>0</v>
      </c>
      <c r="AD185" s="27">
        <f t="shared" si="40"/>
        <v>0</v>
      </c>
      <c r="AG185" s="18" t="s">
        <v>58</v>
      </c>
      <c r="AH185" s="27">
        <v>0</v>
      </c>
      <c r="AI185" s="18"/>
    </row>
    <row r="186" spans="3:35" x14ac:dyDescent="0.25">
      <c r="C186" s="26"/>
      <c r="D186" s="18"/>
      <c r="E186" s="27">
        <v>0</v>
      </c>
      <c r="F186" s="27">
        <v>0</v>
      </c>
      <c r="G186" s="27" t="e">
        <f t="shared" si="39"/>
        <v>#DIV/0!</v>
      </c>
      <c r="I186" s="18"/>
      <c r="J186" s="18"/>
      <c r="K186" s="27">
        <v>0</v>
      </c>
      <c r="L186" s="26"/>
      <c r="M186" s="27" t="e">
        <f t="shared" si="38"/>
        <v>#DIV/0!</v>
      </c>
      <c r="P186" s="18"/>
      <c r="Q186" s="18"/>
      <c r="R186" s="27">
        <v>0</v>
      </c>
      <c r="S186" s="27">
        <f t="shared" si="36"/>
        <v>0</v>
      </c>
      <c r="U186" s="18"/>
      <c r="V186" s="18"/>
      <c r="W186" s="18"/>
      <c r="X186" s="27">
        <v>0</v>
      </c>
      <c r="Y186" s="27">
        <f t="shared" si="37"/>
        <v>0</v>
      </c>
      <c r="AA186" s="18" t="s">
        <v>59</v>
      </c>
      <c r="AB186" s="18"/>
      <c r="AC186" s="27"/>
      <c r="AD186" s="19">
        <f>SUM(AD180:AD185)</f>
        <v>0</v>
      </c>
      <c r="AG186" s="21" t="s">
        <v>60</v>
      </c>
      <c r="AH186" s="27">
        <v>0</v>
      </c>
      <c r="AI186" s="18"/>
    </row>
    <row r="187" spans="3:35" x14ac:dyDescent="0.25">
      <c r="C187" s="26"/>
      <c r="D187" s="18"/>
      <c r="E187" s="27">
        <v>0</v>
      </c>
      <c r="F187" s="27">
        <v>0</v>
      </c>
      <c r="G187" s="27" t="e">
        <f t="shared" si="39"/>
        <v>#DIV/0!</v>
      </c>
      <c r="I187" s="18"/>
      <c r="J187" s="18"/>
      <c r="K187" s="27">
        <v>0</v>
      </c>
      <c r="L187" s="26"/>
      <c r="M187" s="27" t="e">
        <f t="shared" si="38"/>
        <v>#DIV/0!</v>
      </c>
      <c r="P187" s="18"/>
      <c r="Q187" s="18"/>
      <c r="R187" s="27">
        <v>0</v>
      </c>
      <c r="S187" s="27">
        <f t="shared" si="36"/>
        <v>0</v>
      </c>
      <c r="U187" s="18"/>
      <c r="V187" s="18"/>
      <c r="W187" s="18"/>
      <c r="X187" s="27">
        <v>0</v>
      </c>
      <c r="Y187" s="27">
        <f t="shared" si="37"/>
        <v>0</v>
      </c>
      <c r="AA187" s="46"/>
      <c r="AB187" s="46"/>
      <c r="AC187" s="47"/>
      <c r="AD187" s="47"/>
      <c r="AG187" s="18" t="s">
        <v>61</v>
      </c>
      <c r="AH187" s="27">
        <v>0</v>
      </c>
      <c r="AI187" s="18"/>
    </row>
    <row r="188" spans="3:35" x14ac:dyDescent="0.25">
      <c r="C188" s="26"/>
      <c r="D188" s="18"/>
      <c r="E188" s="27">
        <v>0</v>
      </c>
      <c r="F188" s="27">
        <v>0</v>
      </c>
      <c r="G188" s="27" t="e">
        <f t="shared" si="39"/>
        <v>#DIV/0!</v>
      </c>
      <c r="I188" s="18"/>
      <c r="J188" s="18"/>
      <c r="K188" s="27">
        <v>0</v>
      </c>
      <c r="L188" s="26"/>
      <c r="M188" s="27" t="e">
        <f t="shared" si="38"/>
        <v>#DIV/0!</v>
      </c>
      <c r="P188" s="18"/>
      <c r="Q188" s="18"/>
      <c r="R188" s="27">
        <v>0</v>
      </c>
      <c r="S188" s="27">
        <f t="shared" si="36"/>
        <v>0</v>
      </c>
      <c r="U188" s="18"/>
      <c r="V188" s="18"/>
      <c r="W188" s="18"/>
      <c r="X188" s="27">
        <v>0</v>
      </c>
      <c r="Y188" s="27">
        <f t="shared" si="37"/>
        <v>0</v>
      </c>
      <c r="AA188" s="46"/>
      <c r="AB188" s="46"/>
      <c r="AC188" s="47"/>
      <c r="AD188" s="47"/>
      <c r="AG188" s="21" t="s">
        <v>62</v>
      </c>
      <c r="AH188" s="27">
        <v>0</v>
      </c>
      <c r="AI188" s="18"/>
    </row>
    <row r="189" spans="3:35" x14ac:dyDescent="0.25">
      <c r="C189" s="26"/>
      <c r="D189" s="18"/>
      <c r="E189" s="27">
        <f t="shared" ref="E189:E194" si="41">SUM(X189:Z189)</f>
        <v>0</v>
      </c>
      <c r="F189" s="27">
        <v>0</v>
      </c>
      <c r="G189" s="27" t="e">
        <f t="shared" si="39"/>
        <v>#DIV/0!</v>
      </c>
      <c r="I189" s="18"/>
      <c r="J189" s="18"/>
      <c r="K189" s="27">
        <v>0</v>
      </c>
      <c r="L189" s="26"/>
      <c r="M189" s="27" t="e">
        <f t="shared" si="38"/>
        <v>#DIV/0!</v>
      </c>
      <c r="P189" s="18"/>
      <c r="Q189" s="18"/>
      <c r="R189" s="27">
        <v>0</v>
      </c>
      <c r="S189" s="27">
        <f t="shared" si="36"/>
        <v>0</v>
      </c>
      <c r="U189" s="18"/>
      <c r="V189" s="18"/>
      <c r="W189" s="18"/>
      <c r="X189" s="27">
        <v>0</v>
      </c>
      <c r="Y189" s="27">
        <f t="shared" si="37"/>
        <v>0</v>
      </c>
      <c r="AA189" s="48" t="s">
        <v>64</v>
      </c>
      <c r="AB189" s="49"/>
      <c r="AC189" s="49"/>
      <c r="AG189" s="18" t="s">
        <v>65</v>
      </c>
      <c r="AH189" s="27">
        <v>0</v>
      </c>
      <c r="AI189" s="18"/>
    </row>
    <row r="190" spans="3:35" x14ac:dyDescent="0.25">
      <c r="C190" s="26"/>
      <c r="D190" s="18"/>
      <c r="E190" s="27">
        <f t="shared" si="41"/>
        <v>0</v>
      </c>
      <c r="F190" s="27">
        <v>0</v>
      </c>
      <c r="G190" s="27" t="e">
        <f t="shared" si="39"/>
        <v>#DIV/0!</v>
      </c>
      <c r="I190" s="18"/>
      <c r="J190" s="18"/>
      <c r="K190" s="27">
        <v>0</v>
      </c>
      <c r="L190" s="26"/>
      <c r="M190" s="27" t="e">
        <f t="shared" si="38"/>
        <v>#DIV/0!</v>
      </c>
      <c r="P190" s="18"/>
      <c r="Q190" s="18"/>
      <c r="R190" s="27">
        <v>0</v>
      </c>
      <c r="S190" s="27">
        <f t="shared" si="36"/>
        <v>0</v>
      </c>
      <c r="U190" s="18"/>
      <c r="V190" s="18"/>
      <c r="W190" s="18"/>
      <c r="X190" s="27">
        <v>0</v>
      </c>
      <c r="Y190" s="27">
        <f t="shared" si="37"/>
        <v>0</v>
      </c>
      <c r="AA190" s="18" t="s">
        <v>24</v>
      </c>
      <c r="AB190" s="18" t="s">
        <v>25</v>
      </c>
      <c r="AC190" s="18" t="s">
        <v>26</v>
      </c>
      <c r="AD190" s="18" t="s">
        <v>27</v>
      </c>
      <c r="AG190" s="21" t="s">
        <v>67</v>
      </c>
      <c r="AH190" s="27">
        <v>0</v>
      </c>
      <c r="AI190" s="18"/>
    </row>
    <row r="191" spans="3:35" x14ac:dyDescent="0.25">
      <c r="C191" s="26"/>
      <c r="D191" s="18"/>
      <c r="E191" s="27">
        <f t="shared" si="41"/>
        <v>0</v>
      </c>
      <c r="F191" s="27">
        <v>0</v>
      </c>
      <c r="G191" s="27" t="e">
        <f t="shared" si="39"/>
        <v>#DIV/0!</v>
      </c>
      <c r="I191" s="18"/>
      <c r="J191" s="18"/>
      <c r="K191" s="27">
        <v>0</v>
      </c>
      <c r="L191" s="26"/>
      <c r="M191" s="27" t="e">
        <f t="shared" si="38"/>
        <v>#DIV/0!</v>
      </c>
      <c r="P191" s="18"/>
      <c r="Q191" s="18"/>
      <c r="R191" s="27">
        <v>0</v>
      </c>
      <c r="S191" s="27">
        <f t="shared" si="36"/>
        <v>0</v>
      </c>
      <c r="U191" s="18"/>
      <c r="V191" s="18"/>
      <c r="W191" s="18"/>
      <c r="X191" s="27">
        <v>0</v>
      </c>
      <c r="Y191" s="27">
        <f t="shared" si="37"/>
        <v>0</v>
      </c>
      <c r="AA191" s="18"/>
      <c r="AB191" s="18"/>
      <c r="AC191" s="27">
        <v>0</v>
      </c>
      <c r="AD191" s="27">
        <f>AA191*AC191</f>
        <v>0</v>
      </c>
      <c r="AG191" s="18" t="s">
        <v>68</v>
      </c>
      <c r="AH191" s="27">
        <v>0</v>
      </c>
      <c r="AI191" s="18"/>
    </row>
    <row r="192" spans="3:35" x14ac:dyDescent="0.25">
      <c r="C192" s="26"/>
      <c r="D192" s="18"/>
      <c r="E192" s="27">
        <f t="shared" si="41"/>
        <v>0</v>
      </c>
      <c r="F192" s="27">
        <v>0</v>
      </c>
      <c r="G192" s="27" t="e">
        <f t="shared" si="39"/>
        <v>#DIV/0!</v>
      </c>
      <c r="I192" s="18"/>
      <c r="J192" s="18"/>
      <c r="K192" s="27">
        <v>0</v>
      </c>
      <c r="L192" s="26"/>
      <c r="M192" s="27" t="e">
        <f t="shared" si="38"/>
        <v>#DIV/0!</v>
      </c>
      <c r="P192" s="18"/>
      <c r="Q192" s="18"/>
      <c r="R192" s="27">
        <v>0</v>
      </c>
      <c r="S192" s="27">
        <f t="shared" si="36"/>
        <v>0</v>
      </c>
      <c r="U192" s="18"/>
      <c r="V192" s="18"/>
      <c r="W192" s="18"/>
      <c r="X192" s="27">
        <v>0</v>
      </c>
      <c r="Y192" s="27">
        <f t="shared" si="37"/>
        <v>0</v>
      </c>
      <c r="AA192" s="18"/>
      <c r="AB192" s="18"/>
      <c r="AC192" s="27">
        <v>0</v>
      </c>
      <c r="AD192" s="27">
        <f>AA192*AC192</f>
        <v>0</v>
      </c>
      <c r="AG192" s="21" t="s">
        <v>69</v>
      </c>
      <c r="AH192" s="55">
        <v>0</v>
      </c>
      <c r="AI192" s="18"/>
    </row>
    <row r="193" spans="3:35" x14ac:dyDescent="0.25">
      <c r="C193" s="26"/>
      <c r="D193" s="18"/>
      <c r="E193" s="27">
        <f t="shared" si="41"/>
        <v>0</v>
      </c>
      <c r="F193" s="27">
        <v>0</v>
      </c>
      <c r="G193" s="27" t="e">
        <f t="shared" si="39"/>
        <v>#DIV/0!</v>
      </c>
      <c r="I193" s="18"/>
      <c r="J193" s="18"/>
      <c r="K193" s="27">
        <v>0</v>
      </c>
      <c r="L193" s="26"/>
      <c r="M193" s="27" t="e">
        <f t="shared" si="38"/>
        <v>#DIV/0!</v>
      </c>
      <c r="P193" s="18"/>
      <c r="Q193" s="18"/>
      <c r="R193" s="27">
        <v>0</v>
      </c>
      <c r="S193" s="27">
        <f t="shared" si="36"/>
        <v>0</v>
      </c>
      <c r="U193" s="18"/>
      <c r="V193" s="18"/>
      <c r="W193" s="18"/>
      <c r="X193" s="27">
        <v>0</v>
      </c>
      <c r="Y193" s="27">
        <f t="shared" si="37"/>
        <v>0</v>
      </c>
      <c r="AA193" s="18"/>
      <c r="AB193" s="18"/>
      <c r="AC193" s="27">
        <v>0</v>
      </c>
      <c r="AD193" s="27">
        <f>AA193*AC193</f>
        <v>0</v>
      </c>
      <c r="AG193" s="56" t="s">
        <v>70</v>
      </c>
      <c r="AH193" s="55">
        <v>0</v>
      </c>
      <c r="AI193" s="18"/>
    </row>
    <row r="194" spans="3:35" x14ac:dyDescent="0.25">
      <c r="C194" s="26"/>
      <c r="D194" s="18"/>
      <c r="E194" s="27">
        <f t="shared" si="41"/>
        <v>0</v>
      </c>
      <c r="F194" s="27">
        <v>0</v>
      </c>
      <c r="G194" s="27" t="e">
        <f t="shared" si="39"/>
        <v>#DIV/0!</v>
      </c>
      <c r="I194" s="18"/>
      <c r="J194" s="18"/>
      <c r="K194" s="27">
        <v>0</v>
      </c>
      <c r="L194" s="26"/>
      <c r="M194" s="27" t="e">
        <f t="shared" si="38"/>
        <v>#DIV/0!</v>
      </c>
      <c r="P194" s="18"/>
      <c r="Q194" s="18"/>
      <c r="R194" s="27">
        <v>0</v>
      </c>
      <c r="S194" s="27">
        <f t="shared" si="36"/>
        <v>0</v>
      </c>
      <c r="U194" s="18"/>
      <c r="V194" s="18"/>
      <c r="W194" s="18"/>
      <c r="X194" s="27">
        <v>0</v>
      </c>
      <c r="Y194" s="27">
        <f t="shared" si="37"/>
        <v>0</v>
      </c>
      <c r="AA194" s="18"/>
      <c r="AB194" s="18"/>
      <c r="AC194" s="27">
        <v>0</v>
      </c>
      <c r="AD194" s="27">
        <f>AA194*AC194</f>
        <v>0</v>
      </c>
      <c r="AG194" s="21" t="s">
        <v>71</v>
      </c>
      <c r="AH194" s="27">
        <v>0</v>
      </c>
      <c r="AI194" s="18"/>
    </row>
    <row r="195" spans="3:35" x14ac:dyDescent="0.25">
      <c r="C195" s="18" t="s">
        <v>59</v>
      </c>
      <c r="D195" s="18"/>
      <c r="E195" s="57">
        <f>SUM(E177:E194)</f>
        <v>0</v>
      </c>
      <c r="F195" s="18"/>
      <c r="G195" s="18"/>
      <c r="I195" s="18" t="s">
        <v>59</v>
      </c>
      <c r="J195" s="18"/>
      <c r="K195" s="22">
        <f>SUM(K177:K194)</f>
        <v>0</v>
      </c>
      <c r="L195" s="26"/>
      <c r="M195" s="18"/>
      <c r="P195" s="83" t="s">
        <v>27</v>
      </c>
      <c r="Q195" s="84"/>
      <c r="R195" s="85"/>
      <c r="S195" s="58">
        <f>SUM(S177:S194)</f>
        <v>91</v>
      </c>
      <c r="U195" s="83" t="s">
        <v>27</v>
      </c>
      <c r="V195" s="84"/>
      <c r="W195" s="84"/>
      <c r="X195" s="85"/>
      <c r="Y195" s="58">
        <f>SUM(Y177:Y194)</f>
        <v>22.5</v>
      </c>
      <c r="AA195" s="18"/>
      <c r="AB195" s="18"/>
      <c r="AC195" s="27">
        <v>0</v>
      </c>
      <c r="AD195" s="27">
        <f>SUM(AD191:AD194)</f>
        <v>0</v>
      </c>
      <c r="AG195" s="18" t="s">
        <v>72</v>
      </c>
      <c r="AH195" s="27">
        <v>0</v>
      </c>
      <c r="AI195" s="18"/>
    </row>
  </sheetData>
  <mergeCells count="42">
    <mergeCell ref="C12:G12"/>
    <mergeCell ref="I12:M12"/>
    <mergeCell ref="P12:S12"/>
    <mergeCell ref="U12:Y12"/>
    <mergeCell ref="P32:R32"/>
    <mergeCell ref="U32:X32"/>
    <mergeCell ref="C40:G40"/>
    <mergeCell ref="I40:M40"/>
    <mergeCell ref="P40:S40"/>
    <mergeCell ref="U40:Y40"/>
    <mergeCell ref="P60:R60"/>
    <mergeCell ref="U60:X60"/>
    <mergeCell ref="C67:G67"/>
    <mergeCell ref="I67:M67"/>
    <mergeCell ref="P67:S67"/>
    <mergeCell ref="U67:Y67"/>
    <mergeCell ref="P87:R87"/>
    <mergeCell ref="U87:X87"/>
    <mergeCell ref="C94:G94"/>
    <mergeCell ref="I94:M94"/>
    <mergeCell ref="P94:S94"/>
    <mergeCell ref="U94:Y94"/>
    <mergeCell ref="P114:R114"/>
    <mergeCell ref="U114:X114"/>
    <mergeCell ref="C121:G121"/>
    <mergeCell ref="I121:M121"/>
    <mergeCell ref="P121:S121"/>
    <mergeCell ref="U121:Y121"/>
    <mergeCell ref="P141:R141"/>
    <mergeCell ref="U141:X141"/>
    <mergeCell ref="C148:G148"/>
    <mergeCell ref="I148:M148"/>
    <mergeCell ref="P148:S148"/>
    <mergeCell ref="U148:Y148"/>
    <mergeCell ref="P168:R168"/>
    <mergeCell ref="U168:X168"/>
    <mergeCell ref="C175:G175"/>
    <mergeCell ref="I175:M175"/>
    <mergeCell ref="P175:S175"/>
    <mergeCell ref="U175:Y175"/>
    <mergeCell ref="P195:R195"/>
    <mergeCell ref="U195:X1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Y194"/>
  <sheetViews>
    <sheetView workbookViewId="0">
      <selection activeCell="B26" sqref="B26"/>
    </sheetView>
  </sheetViews>
  <sheetFormatPr baseColWidth="10" defaultRowHeight="15" x14ac:dyDescent="0.25"/>
  <sheetData>
    <row r="5" spans="3:25" ht="28.5" x14ac:dyDescent="0.45">
      <c r="D5" s="1" t="s">
        <v>0</v>
      </c>
      <c r="E5" s="1"/>
      <c r="F5" s="1"/>
      <c r="G5" s="2"/>
      <c r="H5" s="2"/>
      <c r="O5" s="3"/>
    </row>
    <row r="8" spans="3:25" ht="28.5" x14ac:dyDescent="0.45">
      <c r="D8" s="7"/>
      <c r="F8" s="1" t="s">
        <v>1</v>
      </c>
      <c r="G8" s="2"/>
      <c r="H8" s="2"/>
      <c r="I8" s="2"/>
      <c r="J8" s="2"/>
      <c r="Q8" s="8"/>
      <c r="R8" s="9" t="s">
        <v>2</v>
      </c>
      <c r="S8" s="9"/>
      <c r="T8" s="9"/>
      <c r="U8" s="2"/>
      <c r="V8" s="2"/>
      <c r="W8" s="2"/>
    </row>
    <row r="10" spans="3:25" x14ac:dyDescent="0.25">
      <c r="C10" t="s">
        <v>148</v>
      </c>
      <c r="P10" t="str">
        <f>C10</f>
        <v>FECHA:LUNES</v>
      </c>
      <c r="U10" t="str">
        <f>P10</f>
        <v>FECHA:LUNES</v>
      </c>
    </row>
    <row r="11" spans="3:25" x14ac:dyDescent="0.25">
      <c r="C11" s="86" t="s">
        <v>7</v>
      </c>
      <c r="D11" s="87"/>
      <c r="E11" s="87"/>
      <c r="F11" s="87"/>
      <c r="G11" s="88"/>
      <c r="I11" s="77" t="s">
        <v>8</v>
      </c>
      <c r="J11" s="78"/>
      <c r="K11" s="78"/>
      <c r="L11" s="78"/>
      <c r="M11" s="79"/>
      <c r="P11" s="74" t="s">
        <v>9</v>
      </c>
      <c r="Q11" s="75"/>
      <c r="R11" s="75"/>
      <c r="S11" s="76"/>
      <c r="U11" s="80" t="s">
        <v>10</v>
      </c>
      <c r="V11" s="81"/>
      <c r="W11" s="81"/>
      <c r="X11" s="81"/>
      <c r="Y11" s="82"/>
    </row>
    <row r="12" spans="3:25" x14ac:dyDescent="0.25">
      <c r="C12" s="18" t="s">
        <v>19</v>
      </c>
      <c r="D12" s="18" t="s">
        <v>20</v>
      </c>
      <c r="E12" s="18" t="s">
        <v>21</v>
      </c>
      <c r="F12" s="18" t="s">
        <v>22</v>
      </c>
      <c r="G12" s="18" t="s">
        <v>23</v>
      </c>
      <c r="I12" s="18" t="s">
        <v>19</v>
      </c>
      <c r="J12" s="18" t="s">
        <v>20</v>
      </c>
      <c r="K12" s="18" t="s">
        <v>21</v>
      </c>
      <c r="L12" s="18" t="s">
        <v>22</v>
      </c>
      <c r="M12" s="18" t="s">
        <v>23</v>
      </c>
      <c r="P12" s="18" t="s">
        <v>24</v>
      </c>
      <c r="Q12" s="18" t="s">
        <v>25</v>
      </c>
      <c r="R12" s="18" t="s">
        <v>26</v>
      </c>
      <c r="S12" s="18" t="s">
        <v>27</v>
      </c>
      <c r="U12" s="18" t="s">
        <v>24</v>
      </c>
      <c r="V12" s="18" t="s">
        <v>25</v>
      </c>
      <c r="W12" s="18"/>
      <c r="X12" s="18" t="s">
        <v>26</v>
      </c>
      <c r="Y12" s="18" t="s">
        <v>27</v>
      </c>
    </row>
    <row r="13" spans="3:25" x14ac:dyDescent="0.25">
      <c r="C13" s="26">
        <v>2</v>
      </c>
      <c r="D13" s="18" t="s">
        <v>149</v>
      </c>
      <c r="E13" s="27">
        <v>180</v>
      </c>
      <c r="F13" s="27">
        <v>2</v>
      </c>
      <c r="G13" s="27">
        <f>E13/F13</f>
        <v>90</v>
      </c>
      <c r="I13" s="18">
        <v>2</v>
      </c>
      <c r="J13" s="18" t="s">
        <v>150</v>
      </c>
      <c r="K13" s="27">
        <v>610</v>
      </c>
      <c r="L13" s="28"/>
      <c r="M13" s="27" t="e">
        <f>K13/L13</f>
        <v>#DIV/0!</v>
      </c>
      <c r="P13" s="18">
        <v>2</v>
      </c>
      <c r="Q13" s="18" t="s">
        <v>89</v>
      </c>
      <c r="R13" s="27">
        <v>20</v>
      </c>
      <c r="S13" s="27">
        <f t="shared" ref="S13:S30" si="0">P13*R13</f>
        <v>40</v>
      </c>
      <c r="U13" s="18">
        <v>1</v>
      </c>
      <c r="V13" s="18" t="s">
        <v>151</v>
      </c>
      <c r="W13" s="18"/>
      <c r="X13" s="27">
        <v>19</v>
      </c>
      <c r="Y13" s="27">
        <f t="shared" ref="Y13:Y30" si="1">U13*X13</f>
        <v>19</v>
      </c>
    </row>
    <row r="14" spans="3:25" x14ac:dyDescent="0.25">
      <c r="C14" s="26">
        <v>1</v>
      </c>
      <c r="D14" s="18" t="s">
        <v>152</v>
      </c>
      <c r="E14" s="27">
        <v>80</v>
      </c>
      <c r="F14" s="27">
        <v>1</v>
      </c>
      <c r="G14" s="27">
        <f>E14/F14</f>
        <v>80</v>
      </c>
      <c r="I14" s="18"/>
      <c r="J14" s="18"/>
      <c r="K14" s="27">
        <v>0</v>
      </c>
      <c r="L14" s="28"/>
      <c r="M14" s="27" t="e">
        <f t="shared" ref="M14:M30" si="2">K14/L14</f>
        <v>#DIV/0!</v>
      </c>
      <c r="P14" s="18">
        <v>2</v>
      </c>
      <c r="Q14" s="18" t="s">
        <v>98</v>
      </c>
      <c r="R14" s="27">
        <v>16</v>
      </c>
      <c r="S14" s="27">
        <f t="shared" si="0"/>
        <v>32</v>
      </c>
      <c r="U14" s="18">
        <v>1</v>
      </c>
      <c r="V14" s="18" t="s">
        <v>49</v>
      </c>
      <c r="W14" s="18"/>
      <c r="X14" s="27">
        <v>17</v>
      </c>
      <c r="Y14" s="27">
        <f t="shared" si="1"/>
        <v>17</v>
      </c>
    </row>
    <row r="15" spans="3:25" x14ac:dyDescent="0.25">
      <c r="C15" s="26">
        <v>1</v>
      </c>
      <c r="D15" s="18" t="s">
        <v>153</v>
      </c>
      <c r="E15" s="27">
        <v>1761</v>
      </c>
      <c r="F15" s="27">
        <v>1</v>
      </c>
      <c r="G15" s="27">
        <f t="shared" ref="G15:G30" si="3">E15/F15</f>
        <v>1761</v>
      </c>
      <c r="I15" s="18"/>
      <c r="J15" s="18"/>
      <c r="K15" s="27">
        <v>0</v>
      </c>
      <c r="L15" s="26"/>
      <c r="M15" s="27" t="e">
        <f t="shared" si="2"/>
        <v>#DIV/0!</v>
      </c>
      <c r="P15" s="18">
        <v>2</v>
      </c>
      <c r="Q15" s="18" t="s">
        <v>154</v>
      </c>
      <c r="R15" s="27">
        <v>22</v>
      </c>
      <c r="S15" s="27">
        <f t="shared" si="0"/>
        <v>44</v>
      </c>
      <c r="U15" s="18">
        <v>1</v>
      </c>
      <c r="V15" s="18" t="s">
        <v>37</v>
      </c>
      <c r="W15" s="18"/>
      <c r="X15" s="27">
        <v>14</v>
      </c>
      <c r="Y15" s="27">
        <f t="shared" si="1"/>
        <v>14</v>
      </c>
    </row>
    <row r="16" spans="3:25" x14ac:dyDescent="0.25">
      <c r="C16" s="26"/>
      <c r="D16" s="18"/>
      <c r="E16" s="27">
        <v>0</v>
      </c>
      <c r="F16" s="27">
        <v>0</v>
      </c>
      <c r="G16" s="27" t="e">
        <f t="shared" si="3"/>
        <v>#DIV/0!</v>
      </c>
      <c r="I16" s="18"/>
      <c r="J16" s="18"/>
      <c r="K16" s="27">
        <v>0</v>
      </c>
      <c r="L16" s="26"/>
      <c r="M16" s="27" t="e">
        <f t="shared" si="2"/>
        <v>#DIV/0!</v>
      </c>
      <c r="P16" s="18">
        <v>1</v>
      </c>
      <c r="Q16" s="18" t="s">
        <v>155</v>
      </c>
      <c r="R16" s="27">
        <v>14</v>
      </c>
      <c r="S16" s="27">
        <f t="shared" si="0"/>
        <v>14</v>
      </c>
      <c r="U16" s="18"/>
      <c r="V16" s="18"/>
      <c r="W16" s="18"/>
      <c r="X16" s="27">
        <v>0</v>
      </c>
      <c r="Y16" s="27">
        <f t="shared" si="1"/>
        <v>0</v>
      </c>
    </row>
    <row r="17" spans="3:25" x14ac:dyDescent="0.25">
      <c r="C17" s="26"/>
      <c r="D17" s="18"/>
      <c r="E17" s="27">
        <v>0</v>
      </c>
      <c r="F17" s="27">
        <v>0</v>
      </c>
      <c r="G17" s="27" t="e">
        <f t="shared" si="3"/>
        <v>#DIV/0!</v>
      </c>
      <c r="I17" s="18"/>
      <c r="J17" s="18"/>
      <c r="K17" s="27">
        <v>0</v>
      </c>
      <c r="L17" s="26"/>
      <c r="M17" s="27" t="e">
        <f t="shared" si="2"/>
        <v>#DIV/0!</v>
      </c>
      <c r="P17" s="18">
        <v>3</v>
      </c>
      <c r="Q17" s="18" t="s">
        <v>156</v>
      </c>
      <c r="R17" s="27">
        <v>17</v>
      </c>
      <c r="S17" s="27">
        <f t="shared" si="0"/>
        <v>51</v>
      </c>
      <c r="U17" s="18"/>
      <c r="V17" s="18"/>
      <c r="W17" s="18"/>
      <c r="X17" s="27">
        <v>0</v>
      </c>
      <c r="Y17" s="27">
        <f t="shared" si="1"/>
        <v>0</v>
      </c>
    </row>
    <row r="18" spans="3:25" x14ac:dyDescent="0.25">
      <c r="C18" s="26"/>
      <c r="D18" s="18"/>
      <c r="E18" s="27">
        <v>0</v>
      </c>
      <c r="F18" s="27">
        <v>0</v>
      </c>
      <c r="G18" s="27" t="e">
        <f t="shared" si="3"/>
        <v>#DIV/0!</v>
      </c>
      <c r="I18" s="18"/>
      <c r="J18" s="18"/>
      <c r="K18" s="27">
        <v>0</v>
      </c>
      <c r="L18" s="26"/>
      <c r="M18" s="27" t="e">
        <f t="shared" si="2"/>
        <v>#DIV/0!</v>
      </c>
      <c r="P18" s="18">
        <v>2</v>
      </c>
      <c r="Q18" s="18" t="s">
        <v>157</v>
      </c>
      <c r="R18" s="27">
        <v>15</v>
      </c>
      <c r="S18" s="27">
        <f t="shared" si="0"/>
        <v>30</v>
      </c>
      <c r="U18" s="18"/>
      <c r="V18" s="18"/>
      <c r="W18" s="18"/>
      <c r="X18" s="27">
        <v>0</v>
      </c>
      <c r="Y18" s="27">
        <f t="shared" si="1"/>
        <v>0</v>
      </c>
    </row>
    <row r="19" spans="3:25" x14ac:dyDescent="0.25">
      <c r="C19" s="26"/>
      <c r="D19" s="18"/>
      <c r="E19" s="27">
        <v>0</v>
      </c>
      <c r="F19" s="27">
        <v>0</v>
      </c>
      <c r="G19" s="27" t="e">
        <f t="shared" si="3"/>
        <v>#DIV/0!</v>
      </c>
      <c r="I19" s="18"/>
      <c r="J19" s="18"/>
      <c r="K19" s="27">
        <v>0</v>
      </c>
      <c r="L19" s="26"/>
      <c r="M19" s="27" t="e">
        <f t="shared" si="2"/>
        <v>#DIV/0!</v>
      </c>
      <c r="P19" s="18">
        <v>2</v>
      </c>
      <c r="Q19" s="18" t="s">
        <v>45</v>
      </c>
      <c r="R19" s="27">
        <v>25</v>
      </c>
      <c r="S19" s="27">
        <f t="shared" si="0"/>
        <v>50</v>
      </c>
      <c r="U19" s="18"/>
      <c r="V19" s="18"/>
      <c r="W19" s="18"/>
      <c r="X19" s="27">
        <v>0</v>
      </c>
      <c r="Y19" s="27">
        <f t="shared" si="1"/>
        <v>0</v>
      </c>
    </row>
    <row r="20" spans="3:25" x14ac:dyDescent="0.25">
      <c r="C20" s="26"/>
      <c r="D20" s="18"/>
      <c r="E20" s="27">
        <v>0</v>
      </c>
      <c r="F20" s="27">
        <v>0</v>
      </c>
      <c r="G20" s="27" t="e">
        <f t="shared" si="3"/>
        <v>#DIV/0!</v>
      </c>
      <c r="I20" s="18"/>
      <c r="J20" s="18"/>
      <c r="K20" s="27">
        <v>0</v>
      </c>
      <c r="L20" s="26"/>
      <c r="M20" s="27" t="e">
        <f t="shared" si="2"/>
        <v>#DIV/0!</v>
      </c>
      <c r="P20" s="18">
        <v>1</v>
      </c>
      <c r="Q20" s="18" t="s">
        <v>34</v>
      </c>
      <c r="R20" s="27">
        <v>3.5</v>
      </c>
      <c r="S20" s="27">
        <f t="shared" si="0"/>
        <v>3.5</v>
      </c>
      <c r="U20" s="18"/>
      <c r="V20" s="18"/>
      <c r="W20" s="18"/>
      <c r="X20" s="27">
        <v>0</v>
      </c>
      <c r="Y20" s="27">
        <f t="shared" si="1"/>
        <v>0</v>
      </c>
    </row>
    <row r="21" spans="3:25" x14ac:dyDescent="0.25">
      <c r="C21" s="26"/>
      <c r="D21" s="18"/>
      <c r="E21" s="27">
        <v>0</v>
      </c>
      <c r="F21" s="27">
        <v>0</v>
      </c>
      <c r="G21" s="27" t="e">
        <f t="shared" si="3"/>
        <v>#DIV/0!</v>
      </c>
      <c r="I21" s="18"/>
      <c r="J21" s="18"/>
      <c r="K21" s="27">
        <v>0</v>
      </c>
      <c r="L21" s="26"/>
      <c r="M21" s="27" t="e">
        <f t="shared" si="2"/>
        <v>#DIV/0!</v>
      </c>
      <c r="P21" s="18">
        <v>1</v>
      </c>
      <c r="Q21" s="18" t="s">
        <v>89</v>
      </c>
      <c r="R21" s="27">
        <v>20</v>
      </c>
      <c r="S21" s="27">
        <f t="shared" si="0"/>
        <v>20</v>
      </c>
      <c r="U21" s="18"/>
      <c r="V21" s="18"/>
      <c r="W21" s="18"/>
      <c r="X21" s="27">
        <v>0</v>
      </c>
      <c r="Y21" s="27">
        <f t="shared" si="1"/>
        <v>0</v>
      </c>
    </row>
    <row r="22" spans="3:25" x14ac:dyDescent="0.25">
      <c r="C22" s="26"/>
      <c r="D22" s="18"/>
      <c r="E22" s="27">
        <v>0</v>
      </c>
      <c r="F22" s="27">
        <v>0</v>
      </c>
      <c r="G22" s="27" t="e">
        <f t="shared" si="3"/>
        <v>#DIV/0!</v>
      </c>
      <c r="I22" s="18"/>
      <c r="J22" s="18"/>
      <c r="K22" s="27">
        <v>0</v>
      </c>
      <c r="L22" s="26"/>
      <c r="M22" s="27" t="e">
        <f t="shared" si="2"/>
        <v>#DIV/0!</v>
      </c>
      <c r="P22" s="18">
        <v>4</v>
      </c>
      <c r="Q22" s="18" t="s">
        <v>158</v>
      </c>
      <c r="R22" s="27">
        <v>17</v>
      </c>
      <c r="S22" s="27">
        <f t="shared" si="0"/>
        <v>68</v>
      </c>
      <c r="U22" s="18"/>
      <c r="V22" s="18"/>
      <c r="W22" s="18"/>
      <c r="X22" s="27">
        <v>0</v>
      </c>
      <c r="Y22" s="27">
        <f t="shared" si="1"/>
        <v>0</v>
      </c>
    </row>
    <row r="23" spans="3:25" x14ac:dyDescent="0.25">
      <c r="C23" s="26"/>
      <c r="D23" s="18"/>
      <c r="E23" s="27">
        <v>0</v>
      </c>
      <c r="F23" s="27">
        <v>0</v>
      </c>
      <c r="G23" s="27" t="e">
        <f t="shared" si="3"/>
        <v>#DIV/0!</v>
      </c>
      <c r="I23" s="18"/>
      <c r="J23" s="18"/>
      <c r="K23" s="27">
        <v>0</v>
      </c>
      <c r="L23" s="26"/>
      <c r="M23" s="27" t="e">
        <f t="shared" si="2"/>
        <v>#DIV/0!</v>
      </c>
      <c r="P23" s="18">
        <v>3</v>
      </c>
      <c r="Q23" s="18" t="s">
        <v>104</v>
      </c>
      <c r="R23" s="27">
        <v>17</v>
      </c>
      <c r="S23" s="27">
        <f t="shared" si="0"/>
        <v>51</v>
      </c>
      <c r="U23" s="18"/>
      <c r="V23" s="18"/>
      <c r="W23" s="18"/>
      <c r="X23" s="27">
        <v>0</v>
      </c>
      <c r="Y23" s="27">
        <f t="shared" si="1"/>
        <v>0</v>
      </c>
    </row>
    <row r="24" spans="3:25" x14ac:dyDescent="0.25">
      <c r="C24" s="26"/>
      <c r="D24" s="18"/>
      <c r="E24" s="27">
        <v>0</v>
      </c>
      <c r="F24" s="27">
        <v>0</v>
      </c>
      <c r="G24" s="27" t="e">
        <f t="shared" si="3"/>
        <v>#DIV/0!</v>
      </c>
      <c r="I24" s="18"/>
      <c r="J24" s="18"/>
      <c r="K24" s="27">
        <v>0</v>
      </c>
      <c r="L24" s="26"/>
      <c r="M24" s="27" t="e">
        <f t="shared" si="2"/>
        <v>#DIV/0!</v>
      </c>
      <c r="P24" s="18">
        <v>3</v>
      </c>
      <c r="Q24" s="18" t="s">
        <v>125</v>
      </c>
      <c r="R24" s="27">
        <v>14</v>
      </c>
      <c r="S24" s="27">
        <f t="shared" si="0"/>
        <v>42</v>
      </c>
      <c r="U24" s="18"/>
      <c r="V24" s="18"/>
      <c r="W24" s="18"/>
      <c r="X24" s="27">
        <v>0</v>
      </c>
      <c r="Y24" s="27">
        <f t="shared" si="1"/>
        <v>0</v>
      </c>
    </row>
    <row r="25" spans="3:25" x14ac:dyDescent="0.25">
      <c r="C25" s="26"/>
      <c r="D25" s="18"/>
      <c r="E25" s="27">
        <f t="shared" ref="E25:E30" si="4">SUM(X25:Z25)</f>
        <v>0</v>
      </c>
      <c r="F25" s="27">
        <v>0</v>
      </c>
      <c r="G25" s="27" t="e">
        <f t="shared" si="3"/>
        <v>#DIV/0!</v>
      </c>
      <c r="I25" s="18"/>
      <c r="J25" s="18"/>
      <c r="K25" s="27">
        <v>0</v>
      </c>
      <c r="L25" s="26"/>
      <c r="M25" s="27" t="e">
        <f t="shared" si="2"/>
        <v>#DIV/0!</v>
      </c>
      <c r="P25" s="18">
        <v>1</v>
      </c>
      <c r="Q25" s="18" t="s">
        <v>159</v>
      </c>
      <c r="R25" s="27">
        <v>17</v>
      </c>
      <c r="S25" s="27">
        <f t="shared" si="0"/>
        <v>17</v>
      </c>
      <c r="U25" s="18"/>
      <c r="V25" s="18"/>
      <c r="W25" s="18"/>
      <c r="X25" s="27">
        <v>0</v>
      </c>
      <c r="Y25" s="27">
        <f t="shared" si="1"/>
        <v>0</v>
      </c>
    </row>
    <row r="26" spans="3:25" x14ac:dyDescent="0.25">
      <c r="C26" s="26"/>
      <c r="D26" s="18"/>
      <c r="E26" s="27">
        <f t="shared" si="4"/>
        <v>0</v>
      </c>
      <c r="F26" s="27">
        <v>0</v>
      </c>
      <c r="G26" s="27" t="e">
        <f t="shared" si="3"/>
        <v>#DIV/0!</v>
      </c>
      <c r="I26" s="18"/>
      <c r="J26" s="18"/>
      <c r="K26" s="27">
        <v>0</v>
      </c>
      <c r="L26" s="26"/>
      <c r="M26" s="27" t="e">
        <f t="shared" si="2"/>
        <v>#DIV/0!</v>
      </c>
      <c r="P26" s="18">
        <v>1</v>
      </c>
      <c r="Q26" s="18" t="s">
        <v>160</v>
      </c>
      <c r="R26" s="27">
        <v>13</v>
      </c>
      <c r="S26" s="27">
        <f t="shared" si="0"/>
        <v>13</v>
      </c>
      <c r="U26" s="18"/>
      <c r="V26" s="18"/>
      <c r="W26" s="18"/>
      <c r="X26" s="27">
        <v>0</v>
      </c>
      <c r="Y26" s="27">
        <f t="shared" si="1"/>
        <v>0</v>
      </c>
    </row>
    <row r="27" spans="3:25" x14ac:dyDescent="0.25">
      <c r="C27" s="26"/>
      <c r="D27" s="18"/>
      <c r="E27" s="27">
        <f t="shared" si="4"/>
        <v>0</v>
      </c>
      <c r="F27" s="27">
        <v>0</v>
      </c>
      <c r="G27" s="27" t="e">
        <f t="shared" si="3"/>
        <v>#DIV/0!</v>
      </c>
      <c r="I27" s="18"/>
      <c r="J27" s="18"/>
      <c r="K27" s="27">
        <v>0</v>
      </c>
      <c r="L27" s="26"/>
      <c r="M27" s="27" t="e">
        <f t="shared" si="2"/>
        <v>#DIV/0!</v>
      </c>
      <c r="P27" s="18"/>
      <c r="Q27" s="18"/>
      <c r="R27" s="27">
        <v>0</v>
      </c>
      <c r="S27" s="27">
        <f t="shared" si="0"/>
        <v>0</v>
      </c>
      <c r="U27" s="18"/>
      <c r="V27" s="18"/>
      <c r="W27" s="18"/>
      <c r="X27" s="27">
        <v>0</v>
      </c>
      <c r="Y27" s="27">
        <f t="shared" si="1"/>
        <v>0</v>
      </c>
    </row>
    <row r="28" spans="3:25" x14ac:dyDescent="0.25">
      <c r="C28" s="26"/>
      <c r="D28" s="18"/>
      <c r="E28" s="27">
        <f t="shared" si="4"/>
        <v>0</v>
      </c>
      <c r="F28" s="27">
        <v>0</v>
      </c>
      <c r="G28" s="27" t="e">
        <f t="shared" si="3"/>
        <v>#DIV/0!</v>
      </c>
      <c r="I28" s="18"/>
      <c r="J28" s="18"/>
      <c r="K28" s="27">
        <v>0</v>
      </c>
      <c r="L28" s="26"/>
      <c r="M28" s="27" t="e">
        <f t="shared" si="2"/>
        <v>#DIV/0!</v>
      </c>
      <c r="P28" s="18"/>
      <c r="Q28" s="18"/>
      <c r="R28" s="27">
        <v>0</v>
      </c>
      <c r="S28" s="27">
        <f t="shared" si="0"/>
        <v>0</v>
      </c>
      <c r="U28" s="18"/>
      <c r="V28" s="18"/>
      <c r="W28" s="18"/>
      <c r="X28" s="27">
        <v>0</v>
      </c>
      <c r="Y28" s="27">
        <f t="shared" si="1"/>
        <v>0</v>
      </c>
    </row>
    <row r="29" spans="3:25" x14ac:dyDescent="0.25">
      <c r="C29" s="26"/>
      <c r="D29" s="18"/>
      <c r="E29" s="27">
        <f t="shared" si="4"/>
        <v>0</v>
      </c>
      <c r="F29" s="27">
        <v>0</v>
      </c>
      <c r="G29" s="27" t="e">
        <f t="shared" si="3"/>
        <v>#DIV/0!</v>
      </c>
      <c r="I29" s="18"/>
      <c r="J29" s="18"/>
      <c r="K29" s="27">
        <v>0</v>
      </c>
      <c r="L29" s="26"/>
      <c r="M29" s="27" t="e">
        <f t="shared" si="2"/>
        <v>#DIV/0!</v>
      </c>
      <c r="P29" s="18"/>
      <c r="Q29" s="18"/>
      <c r="R29" s="27">
        <v>0</v>
      </c>
      <c r="S29" s="27">
        <f t="shared" si="0"/>
        <v>0</v>
      </c>
      <c r="U29" s="18"/>
      <c r="V29" s="18"/>
      <c r="W29" s="18"/>
      <c r="X29" s="27">
        <v>0</v>
      </c>
      <c r="Y29" s="27">
        <f t="shared" si="1"/>
        <v>0</v>
      </c>
    </row>
    <row r="30" spans="3:25" x14ac:dyDescent="0.25">
      <c r="C30" s="26"/>
      <c r="D30" s="18"/>
      <c r="E30" s="27">
        <f t="shared" si="4"/>
        <v>0</v>
      </c>
      <c r="F30" s="27">
        <v>0</v>
      </c>
      <c r="G30" s="27" t="e">
        <f t="shared" si="3"/>
        <v>#DIV/0!</v>
      </c>
      <c r="I30" s="18"/>
      <c r="J30" s="18"/>
      <c r="K30" s="27">
        <v>0</v>
      </c>
      <c r="L30" s="26"/>
      <c r="M30" s="27" t="e">
        <f t="shared" si="2"/>
        <v>#DIV/0!</v>
      </c>
      <c r="P30" s="18"/>
      <c r="Q30" s="18"/>
      <c r="R30" s="27">
        <v>0</v>
      </c>
      <c r="S30" s="27">
        <f t="shared" si="0"/>
        <v>0</v>
      </c>
      <c r="U30" s="18"/>
      <c r="V30" s="18"/>
      <c r="W30" s="18"/>
      <c r="X30" s="27">
        <v>0</v>
      </c>
      <c r="Y30" s="27">
        <f t="shared" si="1"/>
        <v>0</v>
      </c>
    </row>
    <row r="31" spans="3:25" x14ac:dyDescent="0.25">
      <c r="C31" s="18" t="s">
        <v>59</v>
      </c>
      <c r="D31" s="18"/>
      <c r="E31" s="57">
        <f>SUM(E13:E30)</f>
        <v>2021</v>
      </c>
      <c r="F31" s="18"/>
      <c r="G31" s="18"/>
      <c r="I31" s="18" t="s">
        <v>59</v>
      </c>
      <c r="J31" s="18"/>
      <c r="K31" s="22">
        <f>SUM(K13:K30)</f>
        <v>610</v>
      </c>
      <c r="L31" s="26"/>
      <c r="M31" s="18"/>
      <c r="P31" s="83" t="s">
        <v>27</v>
      </c>
      <c r="Q31" s="84"/>
      <c r="R31" s="85"/>
      <c r="S31" s="58">
        <f>SUM(S13:S30)</f>
        <v>475.5</v>
      </c>
      <c r="U31" s="83" t="s">
        <v>27</v>
      </c>
      <c r="V31" s="84"/>
      <c r="W31" s="84"/>
      <c r="X31" s="85"/>
      <c r="Y31" s="58">
        <f>SUM(Y13:Y30)</f>
        <v>50</v>
      </c>
    </row>
    <row r="37" spans="3:25" x14ac:dyDescent="0.25">
      <c r="C37" t="s">
        <v>161</v>
      </c>
    </row>
    <row r="38" spans="3:25" x14ac:dyDescent="0.25">
      <c r="C38" s="43" t="s">
        <v>76</v>
      </c>
      <c r="D38" s="65"/>
      <c r="P38" s="18" t="str">
        <f>C37</f>
        <v xml:space="preserve">FECHA:MARTES </v>
      </c>
      <c r="U38" s="18" t="str">
        <f>P38</f>
        <v xml:space="preserve">FECHA:MARTES </v>
      </c>
    </row>
    <row r="39" spans="3:25" x14ac:dyDescent="0.25">
      <c r="C39" s="74" t="s">
        <v>7</v>
      </c>
      <c r="D39" s="75"/>
      <c r="E39" s="75"/>
      <c r="F39" s="75"/>
      <c r="G39" s="76"/>
      <c r="I39" s="77" t="s">
        <v>8</v>
      </c>
      <c r="J39" s="78"/>
      <c r="K39" s="78"/>
      <c r="L39" s="78"/>
      <c r="M39" s="79"/>
      <c r="P39" s="74" t="s">
        <v>9</v>
      </c>
      <c r="Q39" s="75"/>
      <c r="R39" s="75"/>
      <c r="S39" s="76"/>
      <c r="U39" s="80" t="s">
        <v>77</v>
      </c>
      <c r="V39" s="81"/>
      <c r="W39" s="81"/>
      <c r="X39" s="81"/>
      <c r="Y39" s="82"/>
    </row>
    <row r="40" spans="3:25" x14ac:dyDescent="0.25">
      <c r="C40" s="18" t="s">
        <v>19</v>
      </c>
      <c r="D40" s="18" t="s">
        <v>20</v>
      </c>
      <c r="E40" s="18" t="s">
        <v>21</v>
      </c>
      <c r="F40" s="18" t="s">
        <v>22</v>
      </c>
      <c r="G40" s="18" t="s">
        <v>23</v>
      </c>
      <c r="I40" s="18" t="s">
        <v>19</v>
      </c>
      <c r="J40" s="18" t="s">
        <v>20</v>
      </c>
      <c r="K40" s="18" t="s">
        <v>21</v>
      </c>
      <c r="L40" s="18" t="s">
        <v>22</v>
      </c>
      <c r="M40" s="18" t="s">
        <v>23</v>
      </c>
      <c r="P40" s="18" t="s">
        <v>24</v>
      </c>
      <c r="Q40" s="18" t="s">
        <v>25</v>
      </c>
      <c r="R40" s="18" t="s">
        <v>26</v>
      </c>
      <c r="S40" s="18" t="s">
        <v>27</v>
      </c>
      <c r="U40" s="18" t="s">
        <v>24</v>
      </c>
      <c r="V40" s="18" t="s">
        <v>25</v>
      </c>
      <c r="W40" s="18"/>
      <c r="X40" s="18" t="s">
        <v>26</v>
      </c>
      <c r="Y40" s="18" t="s">
        <v>27</v>
      </c>
    </row>
    <row r="41" spans="3:25" x14ac:dyDescent="0.25">
      <c r="C41" s="26">
        <v>1</v>
      </c>
      <c r="D41" s="18" t="s">
        <v>162</v>
      </c>
      <c r="E41" s="27">
        <v>10047</v>
      </c>
      <c r="F41" s="27">
        <v>1</v>
      </c>
      <c r="G41" s="27">
        <f>E41/F41</f>
        <v>10047</v>
      </c>
      <c r="I41" s="18">
        <v>1</v>
      </c>
      <c r="J41" s="18" t="s">
        <v>163</v>
      </c>
      <c r="K41" s="27">
        <v>35</v>
      </c>
      <c r="L41" s="28"/>
      <c r="M41" s="27" t="e">
        <f>K41/L41</f>
        <v>#DIV/0!</v>
      </c>
      <c r="P41" s="18">
        <v>4</v>
      </c>
      <c r="Q41" s="18" t="s">
        <v>45</v>
      </c>
      <c r="R41" s="27">
        <v>25</v>
      </c>
      <c r="S41" s="27">
        <f t="shared" ref="S41:S58" si="5">P41*R41</f>
        <v>100</v>
      </c>
      <c r="U41" s="18">
        <v>1</v>
      </c>
      <c r="V41" s="18" t="s">
        <v>164</v>
      </c>
      <c r="W41" s="18"/>
      <c r="X41" s="27">
        <v>30</v>
      </c>
      <c r="Y41" s="27">
        <f t="shared" ref="Y41:Y58" si="6">U41*X41</f>
        <v>30</v>
      </c>
    </row>
    <row r="42" spans="3:25" x14ac:dyDescent="0.25">
      <c r="C42" s="26">
        <v>1</v>
      </c>
      <c r="D42" s="18" t="s">
        <v>31</v>
      </c>
      <c r="E42" s="27">
        <v>1180</v>
      </c>
      <c r="F42" s="27">
        <v>10</v>
      </c>
      <c r="G42" s="27">
        <f>E42/F42</f>
        <v>118</v>
      </c>
      <c r="I42" s="18">
        <v>1</v>
      </c>
      <c r="J42" s="18" t="s">
        <v>165</v>
      </c>
      <c r="K42" s="27">
        <v>123</v>
      </c>
      <c r="L42" s="28"/>
      <c r="M42" s="27" t="e">
        <f t="shared" ref="M42:M58" si="7">K42/L42</f>
        <v>#DIV/0!</v>
      </c>
      <c r="P42" s="18">
        <v>1</v>
      </c>
      <c r="Q42" s="18" t="s">
        <v>166</v>
      </c>
      <c r="R42" s="27">
        <v>30</v>
      </c>
      <c r="S42" s="27">
        <f t="shared" si="5"/>
        <v>30</v>
      </c>
      <c r="U42" s="18">
        <v>1</v>
      </c>
      <c r="V42" s="18" t="s">
        <v>127</v>
      </c>
      <c r="W42" s="18"/>
      <c r="X42" s="27">
        <v>3.5</v>
      </c>
      <c r="Y42" s="27">
        <f t="shared" si="6"/>
        <v>3.5</v>
      </c>
    </row>
    <row r="43" spans="3:25" x14ac:dyDescent="0.25">
      <c r="C43" s="26">
        <v>1</v>
      </c>
      <c r="D43" s="18" t="s">
        <v>167</v>
      </c>
      <c r="E43" s="27">
        <v>600</v>
      </c>
      <c r="F43" s="27">
        <v>2</v>
      </c>
      <c r="G43" s="27">
        <f t="shared" ref="G43:G58" si="8">E43/F43</f>
        <v>300</v>
      </c>
      <c r="I43" s="18">
        <v>1</v>
      </c>
      <c r="J43" s="18" t="s">
        <v>168</v>
      </c>
      <c r="K43" s="27">
        <v>86</v>
      </c>
      <c r="L43" s="26"/>
      <c r="M43" s="27" t="e">
        <f t="shared" si="7"/>
        <v>#DIV/0!</v>
      </c>
      <c r="P43" s="18">
        <v>4</v>
      </c>
      <c r="Q43" s="18" t="s">
        <v>169</v>
      </c>
      <c r="R43" s="27">
        <v>13</v>
      </c>
      <c r="S43" s="27">
        <f t="shared" si="5"/>
        <v>52</v>
      </c>
      <c r="U43" s="18">
        <v>1</v>
      </c>
      <c r="V43" s="18" t="s">
        <v>170</v>
      </c>
      <c r="W43" s="18"/>
      <c r="X43" s="27">
        <v>15</v>
      </c>
      <c r="Y43" s="27">
        <f t="shared" si="6"/>
        <v>15</v>
      </c>
    </row>
    <row r="44" spans="3:25" x14ac:dyDescent="0.25">
      <c r="C44" s="26">
        <v>12</v>
      </c>
      <c r="D44" s="18" t="s">
        <v>171</v>
      </c>
      <c r="E44" s="27">
        <v>230</v>
      </c>
      <c r="F44" s="27">
        <v>12</v>
      </c>
      <c r="G44" s="27">
        <f t="shared" si="8"/>
        <v>19.166666666666668</v>
      </c>
      <c r="I44" s="18">
        <v>1</v>
      </c>
      <c r="J44" s="18" t="s">
        <v>172</v>
      </c>
      <c r="K44" s="27">
        <v>68</v>
      </c>
      <c r="L44" s="26"/>
      <c r="M44" s="27" t="e">
        <f t="shared" si="7"/>
        <v>#DIV/0!</v>
      </c>
      <c r="P44" s="18">
        <v>1</v>
      </c>
      <c r="Q44" s="18" t="s">
        <v>105</v>
      </c>
      <c r="R44" s="27">
        <v>17</v>
      </c>
      <c r="S44" s="27">
        <f t="shared" si="5"/>
        <v>17</v>
      </c>
      <c r="U44" s="18">
        <v>1</v>
      </c>
      <c r="V44" s="18" t="s">
        <v>173</v>
      </c>
      <c r="W44" s="18"/>
      <c r="X44" s="27">
        <v>19</v>
      </c>
      <c r="Y44" s="27">
        <f t="shared" si="6"/>
        <v>19</v>
      </c>
    </row>
    <row r="45" spans="3:25" x14ac:dyDescent="0.25">
      <c r="C45" s="26">
        <v>1</v>
      </c>
      <c r="D45" s="18" t="s">
        <v>174</v>
      </c>
      <c r="E45" s="27">
        <v>172</v>
      </c>
      <c r="F45" s="27">
        <v>1</v>
      </c>
      <c r="G45" s="27">
        <f t="shared" si="8"/>
        <v>172</v>
      </c>
      <c r="I45" s="18">
        <v>1</v>
      </c>
      <c r="J45" s="18" t="s">
        <v>175</v>
      </c>
      <c r="K45" s="27">
        <v>68</v>
      </c>
      <c r="L45" s="26"/>
      <c r="M45" s="27" t="e">
        <f t="shared" si="7"/>
        <v>#DIV/0!</v>
      </c>
      <c r="P45" s="18">
        <v>1</v>
      </c>
      <c r="Q45" s="18" t="s">
        <v>176</v>
      </c>
      <c r="R45" s="27">
        <v>16</v>
      </c>
      <c r="S45" s="27">
        <f t="shared" si="5"/>
        <v>16</v>
      </c>
      <c r="U45" s="18"/>
      <c r="V45" s="18"/>
      <c r="W45" s="18"/>
      <c r="X45" s="27">
        <v>0</v>
      </c>
      <c r="Y45" s="27">
        <f t="shared" si="6"/>
        <v>0</v>
      </c>
    </row>
    <row r="46" spans="3:25" x14ac:dyDescent="0.25">
      <c r="C46" s="26">
        <v>1</v>
      </c>
      <c r="D46" s="18" t="s">
        <v>177</v>
      </c>
      <c r="E46" s="27">
        <v>107</v>
      </c>
      <c r="F46" s="27">
        <v>1</v>
      </c>
      <c r="G46" s="27">
        <f t="shared" si="8"/>
        <v>107</v>
      </c>
      <c r="I46" s="18"/>
      <c r="J46" s="18"/>
      <c r="K46" s="27">
        <v>0</v>
      </c>
      <c r="L46" s="26"/>
      <c r="M46" s="27" t="e">
        <f t="shared" si="7"/>
        <v>#DIV/0!</v>
      </c>
      <c r="P46" s="18"/>
      <c r="Q46" s="18"/>
      <c r="R46" s="27">
        <v>0</v>
      </c>
      <c r="S46" s="27">
        <f t="shared" si="5"/>
        <v>0</v>
      </c>
      <c r="U46" s="18"/>
      <c r="V46" s="18"/>
      <c r="W46" s="18"/>
      <c r="X46" s="27">
        <v>0</v>
      </c>
      <c r="Y46" s="27">
        <f t="shared" si="6"/>
        <v>0</v>
      </c>
    </row>
    <row r="47" spans="3:25" x14ac:dyDescent="0.25">
      <c r="C47" s="26">
        <v>1</v>
      </c>
      <c r="D47" s="18" t="s">
        <v>48</v>
      </c>
      <c r="E47" s="27">
        <v>175</v>
      </c>
      <c r="F47" s="27">
        <v>5</v>
      </c>
      <c r="G47" s="27">
        <f t="shared" si="8"/>
        <v>35</v>
      </c>
      <c r="I47" s="18"/>
      <c r="J47" s="18"/>
      <c r="K47" s="27">
        <v>0</v>
      </c>
      <c r="L47" s="26"/>
      <c r="M47" s="27" t="e">
        <f t="shared" si="7"/>
        <v>#DIV/0!</v>
      </c>
      <c r="P47" s="18"/>
      <c r="Q47" s="18"/>
      <c r="R47" s="27">
        <v>0</v>
      </c>
      <c r="S47" s="27">
        <f t="shared" si="5"/>
        <v>0</v>
      </c>
      <c r="U47" s="18"/>
      <c r="V47" s="18"/>
      <c r="W47" s="18"/>
      <c r="X47" s="27">
        <v>0</v>
      </c>
      <c r="Y47" s="27">
        <f t="shared" si="6"/>
        <v>0</v>
      </c>
    </row>
    <row r="48" spans="3:25" x14ac:dyDescent="0.25">
      <c r="C48" s="26">
        <v>1</v>
      </c>
      <c r="D48" s="18" t="s">
        <v>178</v>
      </c>
      <c r="E48" s="27">
        <v>280</v>
      </c>
      <c r="F48" s="27">
        <v>10</v>
      </c>
      <c r="G48" s="27">
        <f t="shared" si="8"/>
        <v>28</v>
      </c>
      <c r="I48" s="18"/>
      <c r="J48" s="18"/>
      <c r="K48" s="27">
        <v>0</v>
      </c>
      <c r="L48" s="26"/>
      <c r="M48" s="27" t="e">
        <f t="shared" si="7"/>
        <v>#DIV/0!</v>
      </c>
      <c r="P48" s="18"/>
      <c r="Q48" s="18"/>
      <c r="R48" s="27">
        <v>0</v>
      </c>
      <c r="S48" s="27">
        <f t="shared" si="5"/>
        <v>0</v>
      </c>
      <c r="U48" s="18"/>
      <c r="V48" s="18"/>
      <c r="W48" s="18"/>
      <c r="X48" s="27">
        <v>0</v>
      </c>
      <c r="Y48" s="27">
        <f t="shared" si="6"/>
        <v>0</v>
      </c>
    </row>
    <row r="49" spans="3:25" x14ac:dyDescent="0.25">
      <c r="C49" s="26">
        <v>100</v>
      </c>
      <c r="D49" s="18" t="s">
        <v>179</v>
      </c>
      <c r="E49" s="27">
        <v>44</v>
      </c>
      <c r="F49" s="27">
        <v>1</v>
      </c>
      <c r="G49" s="27">
        <f t="shared" si="8"/>
        <v>44</v>
      </c>
      <c r="I49" s="18"/>
      <c r="J49" s="18"/>
      <c r="K49" s="27">
        <v>0</v>
      </c>
      <c r="L49" s="26"/>
      <c r="M49" s="27" t="e">
        <f t="shared" si="7"/>
        <v>#DIV/0!</v>
      </c>
      <c r="P49" s="18"/>
      <c r="Q49" s="18"/>
      <c r="R49" s="27">
        <v>0</v>
      </c>
      <c r="S49" s="27">
        <f t="shared" si="5"/>
        <v>0</v>
      </c>
      <c r="U49" s="18"/>
      <c r="V49" s="18"/>
      <c r="W49" s="18"/>
      <c r="X49" s="27">
        <v>0</v>
      </c>
      <c r="Y49" s="27">
        <f t="shared" si="6"/>
        <v>0</v>
      </c>
    </row>
    <row r="50" spans="3:25" x14ac:dyDescent="0.25">
      <c r="C50" s="26">
        <v>1</v>
      </c>
      <c r="D50" s="18" t="s">
        <v>180</v>
      </c>
      <c r="E50" s="27">
        <v>163</v>
      </c>
      <c r="F50" s="27">
        <v>1</v>
      </c>
      <c r="G50" s="27">
        <f t="shared" si="8"/>
        <v>163</v>
      </c>
      <c r="I50" s="18"/>
      <c r="J50" s="18"/>
      <c r="K50" s="27">
        <v>0</v>
      </c>
      <c r="L50" s="26"/>
      <c r="M50" s="27" t="e">
        <f t="shared" si="7"/>
        <v>#DIV/0!</v>
      </c>
      <c r="P50" s="18"/>
      <c r="Q50" s="18"/>
      <c r="R50" s="27">
        <v>0</v>
      </c>
      <c r="S50" s="27">
        <f t="shared" si="5"/>
        <v>0</v>
      </c>
      <c r="U50" s="18"/>
      <c r="V50" s="18"/>
      <c r="W50" s="18"/>
      <c r="X50" s="27">
        <v>0</v>
      </c>
      <c r="Y50" s="27">
        <f t="shared" si="6"/>
        <v>0</v>
      </c>
    </row>
    <row r="51" spans="3:25" x14ac:dyDescent="0.25">
      <c r="C51" s="26">
        <v>2</v>
      </c>
      <c r="D51" s="18" t="s">
        <v>181</v>
      </c>
      <c r="E51" s="27">
        <v>46</v>
      </c>
      <c r="F51" s="27">
        <v>2</v>
      </c>
      <c r="G51" s="27">
        <f t="shared" si="8"/>
        <v>23</v>
      </c>
      <c r="I51" s="18"/>
      <c r="J51" s="18"/>
      <c r="K51" s="27">
        <v>0</v>
      </c>
      <c r="L51" s="26"/>
      <c r="M51" s="27" t="e">
        <f t="shared" si="7"/>
        <v>#DIV/0!</v>
      </c>
      <c r="P51" s="18"/>
      <c r="Q51" s="18"/>
      <c r="R51" s="27">
        <v>0</v>
      </c>
      <c r="S51" s="27">
        <f t="shared" si="5"/>
        <v>0</v>
      </c>
      <c r="U51" s="18"/>
      <c r="V51" s="18"/>
      <c r="W51" s="18"/>
      <c r="X51" s="27">
        <v>0</v>
      </c>
      <c r="Y51" s="27">
        <f t="shared" si="6"/>
        <v>0</v>
      </c>
    </row>
    <row r="52" spans="3:25" x14ac:dyDescent="0.25">
      <c r="C52" s="26">
        <v>1</v>
      </c>
      <c r="D52" s="18" t="s">
        <v>182</v>
      </c>
      <c r="E52" s="27">
        <v>198</v>
      </c>
      <c r="F52" s="27">
        <v>1</v>
      </c>
      <c r="G52" s="27">
        <f t="shared" si="8"/>
        <v>198</v>
      </c>
      <c r="I52" s="18"/>
      <c r="J52" s="18"/>
      <c r="K52" s="27">
        <v>0</v>
      </c>
      <c r="L52" s="26"/>
      <c r="M52" s="27" t="e">
        <f t="shared" si="7"/>
        <v>#DIV/0!</v>
      </c>
      <c r="P52" s="18"/>
      <c r="Q52" s="18"/>
      <c r="R52" s="27">
        <v>0</v>
      </c>
      <c r="S52" s="27">
        <f t="shared" si="5"/>
        <v>0</v>
      </c>
      <c r="U52" s="18"/>
      <c r="V52" s="18"/>
      <c r="W52" s="18"/>
      <c r="X52" s="27">
        <v>0</v>
      </c>
      <c r="Y52" s="27">
        <f t="shared" si="6"/>
        <v>0</v>
      </c>
    </row>
    <row r="53" spans="3:25" x14ac:dyDescent="0.25">
      <c r="C53" s="26">
        <v>1</v>
      </c>
      <c r="D53" s="18" t="s">
        <v>183</v>
      </c>
      <c r="E53" s="27">
        <v>56</v>
      </c>
      <c r="F53" s="27">
        <v>1</v>
      </c>
      <c r="G53" s="27">
        <f t="shared" si="8"/>
        <v>56</v>
      </c>
      <c r="I53" s="18"/>
      <c r="J53" s="18"/>
      <c r="K53" s="27">
        <v>0</v>
      </c>
      <c r="L53" s="26"/>
      <c r="M53" s="27" t="e">
        <f t="shared" si="7"/>
        <v>#DIV/0!</v>
      </c>
      <c r="P53" s="18"/>
      <c r="Q53" s="18"/>
      <c r="R53" s="27">
        <v>0</v>
      </c>
      <c r="S53" s="27">
        <f t="shared" si="5"/>
        <v>0</v>
      </c>
      <c r="U53" s="18"/>
      <c r="V53" s="18"/>
      <c r="W53" s="18"/>
      <c r="X53" s="27">
        <v>0</v>
      </c>
      <c r="Y53" s="27">
        <f t="shared" si="6"/>
        <v>0</v>
      </c>
    </row>
    <row r="54" spans="3:25" x14ac:dyDescent="0.25">
      <c r="C54" s="26">
        <v>1</v>
      </c>
      <c r="D54" s="18" t="s">
        <v>181</v>
      </c>
      <c r="E54" s="27">
        <v>70</v>
      </c>
      <c r="F54" s="27">
        <v>2</v>
      </c>
      <c r="G54" s="27">
        <f t="shared" si="8"/>
        <v>35</v>
      </c>
      <c r="I54" s="18"/>
      <c r="J54" s="18"/>
      <c r="K54" s="27">
        <v>0</v>
      </c>
      <c r="L54" s="26"/>
      <c r="M54" s="27" t="e">
        <f t="shared" si="7"/>
        <v>#DIV/0!</v>
      </c>
      <c r="P54" s="18"/>
      <c r="Q54" s="18"/>
      <c r="R54" s="27">
        <v>0</v>
      </c>
      <c r="S54" s="27">
        <f t="shared" si="5"/>
        <v>0</v>
      </c>
      <c r="U54" s="18"/>
      <c r="V54" s="18"/>
      <c r="W54" s="18"/>
      <c r="X54" s="27">
        <v>0</v>
      </c>
      <c r="Y54" s="27">
        <f t="shared" si="6"/>
        <v>0</v>
      </c>
    </row>
    <row r="55" spans="3:25" x14ac:dyDescent="0.25">
      <c r="C55" s="26"/>
      <c r="D55" s="18"/>
      <c r="E55" s="27">
        <f t="shared" ref="E55:E58" si="9">SUM(X55:Z55)</f>
        <v>0</v>
      </c>
      <c r="F55" s="27">
        <v>0</v>
      </c>
      <c r="G55" s="27" t="e">
        <f t="shared" si="8"/>
        <v>#DIV/0!</v>
      </c>
      <c r="I55" s="18"/>
      <c r="J55" s="18"/>
      <c r="K55" s="27">
        <v>0</v>
      </c>
      <c r="L55" s="26"/>
      <c r="M55" s="27" t="e">
        <f t="shared" si="7"/>
        <v>#DIV/0!</v>
      </c>
      <c r="P55" s="18"/>
      <c r="Q55" s="18"/>
      <c r="R55" s="27">
        <v>0</v>
      </c>
      <c r="S55" s="27">
        <f t="shared" si="5"/>
        <v>0</v>
      </c>
      <c r="U55" s="18"/>
      <c r="V55" s="18"/>
      <c r="W55" s="18"/>
      <c r="X55" s="27">
        <v>0</v>
      </c>
      <c r="Y55" s="27">
        <f t="shared" si="6"/>
        <v>0</v>
      </c>
    </row>
    <row r="56" spans="3:25" x14ac:dyDescent="0.25">
      <c r="C56" s="26"/>
      <c r="D56" s="18"/>
      <c r="E56" s="27">
        <f t="shared" si="9"/>
        <v>0</v>
      </c>
      <c r="F56" s="27">
        <v>0</v>
      </c>
      <c r="G56" s="27" t="e">
        <f t="shared" si="8"/>
        <v>#DIV/0!</v>
      </c>
      <c r="I56" s="18"/>
      <c r="J56" s="18"/>
      <c r="K56" s="27">
        <v>0</v>
      </c>
      <c r="L56" s="26"/>
      <c r="M56" s="27" t="e">
        <f t="shared" si="7"/>
        <v>#DIV/0!</v>
      </c>
      <c r="P56" s="18"/>
      <c r="Q56" s="18"/>
      <c r="R56" s="27">
        <v>0</v>
      </c>
      <c r="S56" s="27">
        <f t="shared" si="5"/>
        <v>0</v>
      </c>
      <c r="U56" s="18"/>
      <c r="V56" s="18"/>
      <c r="W56" s="18"/>
      <c r="X56" s="27">
        <v>0</v>
      </c>
      <c r="Y56" s="27">
        <f t="shared" si="6"/>
        <v>0</v>
      </c>
    </row>
    <row r="57" spans="3:25" x14ac:dyDescent="0.25">
      <c r="C57" s="26"/>
      <c r="D57" s="18"/>
      <c r="E57" s="27">
        <f t="shared" si="9"/>
        <v>0</v>
      </c>
      <c r="F57" s="27">
        <v>0</v>
      </c>
      <c r="G57" s="27" t="e">
        <f t="shared" si="8"/>
        <v>#DIV/0!</v>
      </c>
      <c r="I57" s="18"/>
      <c r="J57" s="18"/>
      <c r="K57" s="27">
        <v>0</v>
      </c>
      <c r="L57" s="26"/>
      <c r="M57" s="27" t="e">
        <f t="shared" si="7"/>
        <v>#DIV/0!</v>
      </c>
      <c r="P57" s="18"/>
      <c r="Q57" s="18"/>
      <c r="R57" s="27">
        <v>0</v>
      </c>
      <c r="S57" s="27">
        <f t="shared" si="5"/>
        <v>0</v>
      </c>
      <c r="U57" s="18"/>
      <c r="V57" s="18"/>
      <c r="W57" s="18"/>
      <c r="X57" s="27">
        <v>0</v>
      </c>
      <c r="Y57" s="27">
        <f t="shared" si="6"/>
        <v>0</v>
      </c>
    </row>
    <row r="58" spans="3:25" x14ac:dyDescent="0.25">
      <c r="C58" s="26"/>
      <c r="D58" s="18"/>
      <c r="E58" s="27">
        <f t="shared" si="9"/>
        <v>0</v>
      </c>
      <c r="F58" s="27">
        <v>0</v>
      </c>
      <c r="G58" s="27" t="e">
        <f t="shared" si="8"/>
        <v>#DIV/0!</v>
      </c>
      <c r="I58" s="18"/>
      <c r="J58" s="18"/>
      <c r="K58" s="27">
        <v>0</v>
      </c>
      <c r="L58" s="26"/>
      <c r="M58" s="27" t="e">
        <f t="shared" si="7"/>
        <v>#DIV/0!</v>
      </c>
      <c r="P58" s="18"/>
      <c r="Q58" s="18"/>
      <c r="R58" s="27">
        <v>0</v>
      </c>
      <c r="S58" s="27">
        <f t="shared" si="5"/>
        <v>0</v>
      </c>
      <c r="U58" s="18"/>
      <c r="V58" s="18"/>
      <c r="W58" s="18"/>
      <c r="X58" s="27">
        <v>0</v>
      </c>
      <c r="Y58" s="27">
        <f t="shared" si="6"/>
        <v>0</v>
      </c>
    </row>
    <row r="59" spans="3:25" x14ac:dyDescent="0.25">
      <c r="C59" s="18" t="s">
        <v>59</v>
      </c>
      <c r="D59" s="18" t="s">
        <v>101</v>
      </c>
      <c r="E59" s="57">
        <f>SUM(E41:E58)</f>
        <v>13368</v>
      </c>
      <c r="F59" s="18"/>
      <c r="G59" s="18"/>
      <c r="I59" s="18" t="s">
        <v>59</v>
      </c>
      <c r="J59" s="18"/>
      <c r="K59" s="22">
        <f>SUM(K41:K58)</f>
        <v>380</v>
      </c>
      <c r="L59" s="26"/>
      <c r="M59" s="18"/>
      <c r="P59" s="83" t="s">
        <v>27</v>
      </c>
      <c r="Q59" s="84"/>
      <c r="R59" s="85"/>
      <c r="S59" s="58">
        <f>SUM(S41:S58)</f>
        <v>215</v>
      </c>
      <c r="U59" s="83" t="s">
        <v>27</v>
      </c>
      <c r="V59" s="84"/>
      <c r="W59" s="84"/>
      <c r="X59" s="85"/>
      <c r="Y59" s="58">
        <f>SUM(Y41:Y58)</f>
        <v>67.5</v>
      </c>
    </row>
    <row r="64" spans="3:25" x14ac:dyDescent="0.25">
      <c r="C64" t="s">
        <v>184</v>
      </c>
    </row>
    <row r="65" spans="3:25" x14ac:dyDescent="0.25">
      <c r="C65" s="43" t="s">
        <v>76</v>
      </c>
      <c r="D65" s="65"/>
      <c r="P65" s="18" t="str">
        <f>C64</f>
        <v>FECHA: MIERCOLES</v>
      </c>
      <c r="U65" s="18" t="str">
        <f>P65</f>
        <v>FECHA: MIERCOLES</v>
      </c>
    </row>
    <row r="66" spans="3:25" x14ac:dyDescent="0.25">
      <c r="C66" s="74" t="s">
        <v>7</v>
      </c>
      <c r="D66" s="75"/>
      <c r="E66" s="75"/>
      <c r="F66" s="75"/>
      <c r="G66" s="76"/>
      <c r="I66" s="77" t="s">
        <v>8</v>
      </c>
      <c r="J66" s="78"/>
      <c r="K66" s="78"/>
      <c r="L66" s="78"/>
      <c r="M66" s="79"/>
      <c r="P66" s="74" t="s">
        <v>9</v>
      </c>
      <c r="Q66" s="75"/>
      <c r="R66" s="75"/>
      <c r="S66" s="76"/>
      <c r="U66" s="80" t="s">
        <v>77</v>
      </c>
      <c r="V66" s="81"/>
      <c r="W66" s="81"/>
      <c r="X66" s="81"/>
      <c r="Y66" s="82"/>
    </row>
    <row r="67" spans="3:25" x14ac:dyDescent="0.25">
      <c r="C67" s="18" t="s">
        <v>19</v>
      </c>
      <c r="D67" s="18" t="s">
        <v>20</v>
      </c>
      <c r="E67" s="18" t="s">
        <v>21</v>
      </c>
      <c r="F67" s="18" t="s">
        <v>22</v>
      </c>
      <c r="G67" s="18" t="s">
        <v>23</v>
      </c>
      <c r="I67" s="18" t="s">
        <v>19</v>
      </c>
      <c r="J67" s="18" t="s">
        <v>20</v>
      </c>
      <c r="K67" s="18" t="s">
        <v>21</v>
      </c>
      <c r="L67" s="18" t="s">
        <v>22</v>
      </c>
      <c r="M67" s="18" t="s">
        <v>23</v>
      </c>
      <c r="P67" s="18" t="s">
        <v>24</v>
      </c>
      <c r="Q67" s="18" t="s">
        <v>25</v>
      </c>
      <c r="R67" s="18" t="s">
        <v>26</v>
      </c>
      <c r="S67" s="18" t="s">
        <v>27</v>
      </c>
      <c r="U67" s="18" t="s">
        <v>24</v>
      </c>
      <c r="V67" s="18" t="s">
        <v>25</v>
      </c>
      <c r="W67" s="18"/>
      <c r="X67" s="18" t="s">
        <v>26</v>
      </c>
      <c r="Y67" s="18" t="s">
        <v>27</v>
      </c>
    </row>
    <row r="68" spans="3:25" x14ac:dyDescent="0.25">
      <c r="C68" s="26">
        <v>1</v>
      </c>
      <c r="D68" s="18" t="s">
        <v>185</v>
      </c>
      <c r="E68" s="27">
        <v>2827</v>
      </c>
      <c r="F68" s="27">
        <v>1</v>
      </c>
      <c r="G68" s="27">
        <f>E68/F68</f>
        <v>2827</v>
      </c>
      <c r="I68" s="18"/>
      <c r="J68" s="18"/>
      <c r="K68" s="27">
        <v>0</v>
      </c>
      <c r="L68" s="28"/>
      <c r="M68" s="27" t="e">
        <f>K68/L68</f>
        <v>#DIV/0!</v>
      </c>
      <c r="P68" s="18">
        <v>1</v>
      </c>
      <c r="Q68" s="18" t="s">
        <v>113</v>
      </c>
      <c r="R68" s="27">
        <v>16</v>
      </c>
      <c r="S68" s="27">
        <f t="shared" ref="S68:S85" si="10">P68*R68</f>
        <v>16</v>
      </c>
      <c r="U68" s="18">
        <v>1</v>
      </c>
      <c r="V68" s="18" t="s">
        <v>37</v>
      </c>
      <c r="W68" s="18"/>
      <c r="X68" s="27">
        <v>14</v>
      </c>
      <c r="Y68" s="27">
        <f t="shared" ref="Y68:Y85" si="11">U68*X68</f>
        <v>14</v>
      </c>
    </row>
    <row r="69" spans="3:25" x14ac:dyDescent="0.25">
      <c r="C69" s="26">
        <v>1</v>
      </c>
      <c r="D69" s="18" t="s">
        <v>186</v>
      </c>
      <c r="E69" s="27">
        <v>40</v>
      </c>
      <c r="F69" s="27">
        <v>1</v>
      </c>
      <c r="G69" s="27">
        <f>E69/F69</f>
        <v>40</v>
      </c>
      <c r="I69" s="18"/>
      <c r="J69" s="18"/>
      <c r="K69" s="27">
        <v>0</v>
      </c>
      <c r="L69" s="28"/>
      <c r="M69" s="27" t="e">
        <f t="shared" ref="M69:M85" si="12">K69/L69</f>
        <v>#DIV/0!</v>
      </c>
      <c r="P69" s="18">
        <v>2</v>
      </c>
      <c r="Q69" s="18" t="s">
        <v>187</v>
      </c>
      <c r="R69" s="27">
        <v>11</v>
      </c>
      <c r="S69" s="27">
        <f t="shared" si="10"/>
        <v>22</v>
      </c>
      <c r="U69" s="18">
        <v>1</v>
      </c>
      <c r="V69" s="18" t="s">
        <v>85</v>
      </c>
      <c r="W69" s="18"/>
      <c r="X69" s="27">
        <v>14</v>
      </c>
      <c r="Y69" s="27">
        <f t="shared" si="11"/>
        <v>14</v>
      </c>
    </row>
    <row r="70" spans="3:25" x14ac:dyDescent="0.25">
      <c r="C70" s="26">
        <v>6</v>
      </c>
      <c r="D70" s="18" t="s">
        <v>188</v>
      </c>
      <c r="E70" s="27">
        <v>69</v>
      </c>
      <c r="F70" s="27">
        <v>1</v>
      </c>
      <c r="G70" s="27">
        <f t="shared" ref="G70:G85" si="13">E70/F70</f>
        <v>69</v>
      </c>
      <c r="I70" s="18"/>
      <c r="J70" s="18"/>
      <c r="K70" s="27">
        <v>0</v>
      </c>
      <c r="L70" s="26"/>
      <c r="M70" s="27" t="e">
        <f t="shared" si="12"/>
        <v>#DIV/0!</v>
      </c>
      <c r="P70" s="18"/>
      <c r="Q70" s="18"/>
      <c r="R70" s="27">
        <v>0</v>
      </c>
      <c r="S70" s="27">
        <f t="shared" si="10"/>
        <v>0</v>
      </c>
      <c r="U70" s="18">
        <v>1</v>
      </c>
      <c r="V70" s="18" t="s">
        <v>112</v>
      </c>
      <c r="W70" s="18"/>
      <c r="X70" s="27">
        <v>11</v>
      </c>
      <c r="Y70" s="27">
        <f t="shared" si="11"/>
        <v>11</v>
      </c>
    </row>
    <row r="71" spans="3:25" x14ac:dyDescent="0.25">
      <c r="C71" s="26"/>
      <c r="D71" s="18"/>
      <c r="E71" s="27">
        <v>0</v>
      </c>
      <c r="F71" s="27">
        <v>0</v>
      </c>
      <c r="G71" s="27" t="e">
        <f t="shared" si="13"/>
        <v>#DIV/0!</v>
      </c>
      <c r="I71" s="18"/>
      <c r="J71" s="18"/>
      <c r="K71" s="27">
        <v>0</v>
      </c>
      <c r="L71" s="26"/>
      <c r="M71" s="27" t="e">
        <f t="shared" si="12"/>
        <v>#DIV/0!</v>
      </c>
      <c r="P71" s="18"/>
      <c r="Q71" s="18"/>
      <c r="R71" s="27">
        <v>0</v>
      </c>
      <c r="S71" s="27">
        <f t="shared" si="10"/>
        <v>0</v>
      </c>
      <c r="U71" s="18">
        <v>1</v>
      </c>
      <c r="V71" s="18" t="s">
        <v>189</v>
      </c>
      <c r="W71" s="18"/>
      <c r="X71" s="27">
        <v>22</v>
      </c>
      <c r="Y71" s="27">
        <f t="shared" si="11"/>
        <v>22</v>
      </c>
    </row>
    <row r="72" spans="3:25" x14ac:dyDescent="0.25">
      <c r="C72" s="26"/>
      <c r="D72" s="18"/>
      <c r="E72" s="27">
        <v>0</v>
      </c>
      <c r="F72" s="27">
        <v>0</v>
      </c>
      <c r="G72" s="27" t="e">
        <f t="shared" si="13"/>
        <v>#DIV/0!</v>
      </c>
      <c r="I72" s="18"/>
      <c r="J72" s="18"/>
      <c r="K72" s="27">
        <v>0</v>
      </c>
      <c r="L72" s="26"/>
      <c r="M72" s="27" t="e">
        <f t="shared" si="12"/>
        <v>#DIV/0!</v>
      </c>
      <c r="P72" s="18"/>
      <c r="Q72" s="18"/>
      <c r="R72" s="27">
        <v>0</v>
      </c>
      <c r="S72" s="27">
        <f t="shared" si="10"/>
        <v>0</v>
      </c>
      <c r="U72" s="18">
        <v>1</v>
      </c>
      <c r="V72" s="18" t="s">
        <v>170</v>
      </c>
      <c r="W72" s="18"/>
      <c r="X72" s="27">
        <v>16</v>
      </c>
      <c r="Y72" s="27">
        <f t="shared" si="11"/>
        <v>16</v>
      </c>
    </row>
    <row r="73" spans="3:25" x14ac:dyDescent="0.25">
      <c r="C73" s="26"/>
      <c r="D73" s="18"/>
      <c r="E73" s="27">
        <v>0</v>
      </c>
      <c r="F73" s="27">
        <v>0</v>
      </c>
      <c r="G73" s="27" t="e">
        <f t="shared" si="13"/>
        <v>#DIV/0!</v>
      </c>
      <c r="I73" s="18"/>
      <c r="J73" s="18"/>
      <c r="K73" s="27">
        <v>0</v>
      </c>
      <c r="L73" s="26"/>
      <c r="M73" s="27" t="e">
        <f t="shared" si="12"/>
        <v>#DIV/0!</v>
      </c>
      <c r="P73" s="18"/>
      <c r="Q73" s="18"/>
      <c r="R73" s="27">
        <v>0</v>
      </c>
      <c r="S73" s="27">
        <f t="shared" si="10"/>
        <v>0</v>
      </c>
      <c r="U73" s="18">
        <v>1</v>
      </c>
      <c r="V73" s="18" t="s">
        <v>108</v>
      </c>
      <c r="W73" s="18"/>
      <c r="X73" s="27">
        <v>21</v>
      </c>
      <c r="Y73" s="27">
        <f t="shared" si="11"/>
        <v>21</v>
      </c>
    </row>
    <row r="74" spans="3:25" x14ac:dyDescent="0.25">
      <c r="C74" s="26"/>
      <c r="D74" s="18"/>
      <c r="E74" s="27">
        <v>0</v>
      </c>
      <c r="F74" s="27">
        <v>0</v>
      </c>
      <c r="G74" s="27" t="e">
        <f t="shared" si="13"/>
        <v>#DIV/0!</v>
      </c>
      <c r="I74" s="18"/>
      <c r="J74" s="18"/>
      <c r="K74" s="27">
        <v>0</v>
      </c>
      <c r="L74" s="26"/>
      <c r="M74" s="27" t="e">
        <f t="shared" si="12"/>
        <v>#DIV/0!</v>
      </c>
      <c r="P74" s="18"/>
      <c r="Q74" s="18"/>
      <c r="R74" s="27">
        <v>0</v>
      </c>
      <c r="S74" s="27">
        <f t="shared" si="10"/>
        <v>0</v>
      </c>
      <c r="U74" s="18"/>
      <c r="V74" s="18"/>
      <c r="W74" s="18"/>
      <c r="X74" s="27">
        <v>0</v>
      </c>
      <c r="Y74" s="27">
        <f t="shared" si="11"/>
        <v>0</v>
      </c>
    </row>
    <row r="75" spans="3:25" x14ac:dyDescent="0.25">
      <c r="C75" s="26"/>
      <c r="D75" s="18"/>
      <c r="E75" s="27">
        <v>0</v>
      </c>
      <c r="F75" s="27">
        <v>0</v>
      </c>
      <c r="G75" s="27" t="e">
        <f t="shared" si="13"/>
        <v>#DIV/0!</v>
      </c>
      <c r="I75" s="18"/>
      <c r="J75" s="18"/>
      <c r="K75" s="27">
        <v>0</v>
      </c>
      <c r="L75" s="26"/>
      <c r="M75" s="27" t="e">
        <f t="shared" si="12"/>
        <v>#DIV/0!</v>
      </c>
      <c r="P75" s="18"/>
      <c r="Q75" s="18"/>
      <c r="R75" s="27">
        <v>0</v>
      </c>
      <c r="S75" s="27">
        <f t="shared" si="10"/>
        <v>0</v>
      </c>
      <c r="U75" s="18"/>
      <c r="V75" s="18"/>
      <c r="W75" s="18"/>
      <c r="X75" s="27">
        <v>0</v>
      </c>
      <c r="Y75" s="27">
        <f t="shared" si="11"/>
        <v>0</v>
      </c>
    </row>
    <row r="76" spans="3:25" x14ac:dyDescent="0.25">
      <c r="C76" s="26"/>
      <c r="D76" s="18"/>
      <c r="E76" s="27">
        <v>0</v>
      </c>
      <c r="F76" s="27">
        <v>0</v>
      </c>
      <c r="G76" s="27" t="e">
        <f t="shared" si="13"/>
        <v>#DIV/0!</v>
      </c>
      <c r="I76" s="18"/>
      <c r="J76" s="18"/>
      <c r="K76" s="27">
        <v>0</v>
      </c>
      <c r="L76" s="26"/>
      <c r="M76" s="27" t="e">
        <f t="shared" si="12"/>
        <v>#DIV/0!</v>
      </c>
      <c r="P76" s="18"/>
      <c r="Q76" s="18"/>
      <c r="R76" s="27">
        <v>0</v>
      </c>
      <c r="S76" s="27">
        <f t="shared" si="10"/>
        <v>0</v>
      </c>
      <c r="U76" s="18"/>
      <c r="V76" s="18"/>
      <c r="W76" s="18"/>
      <c r="X76" s="27">
        <v>0</v>
      </c>
      <c r="Y76" s="27">
        <f t="shared" si="11"/>
        <v>0</v>
      </c>
    </row>
    <row r="77" spans="3:25" x14ac:dyDescent="0.25">
      <c r="C77" s="26"/>
      <c r="D77" s="18"/>
      <c r="E77" s="27">
        <v>0</v>
      </c>
      <c r="F77" s="27">
        <v>0</v>
      </c>
      <c r="G77" s="27" t="e">
        <f t="shared" si="13"/>
        <v>#DIV/0!</v>
      </c>
      <c r="I77" s="18"/>
      <c r="J77" s="18"/>
      <c r="K77" s="27">
        <v>0</v>
      </c>
      <c r="L77" s="26"/>
      <c r="M77" s="27" t="e">
        <f t="shared" si="12"/>
        <v>#DIV/0!</v>
      </c>
      <c r="P77" s="18"/>
      <c r="Q77" s="18"/>
      <c r="R77" s="27">
        <v>0</v>
      </c>
      <c r="S77" s="27">
        <f t="shared" si="10"/>
        <v>0</v>
      </c>
      <c r="U77" s="18"/>
      <c r="V77" s="18"/>
      <c r="W77" s="18"/>
      <c r="X77" s="27">
        <v>0</v>
      </c>
      <c r="Y77" s="27">
        <f t="shared" si="11"/>
        <v>0</v>
      </c>
    </row>
    <row r="78" spans="3:25" x14ac:dyDescent="0.25">
      <c r="C78" s="26"/>
      <c r="D78" s="18"/>
      <c r="E78" s="27">
        <v>0</v>
      </c>
      <c r="F78" s="27">
        <v>0</v>
      </c>
      <c r="G78" s="27" t="e">
        <f t="shared" si="13"/>
        <v>#DIV/0!</v>
      </c>
      <c r="I78" s="18"/>
      <c r="J78" s="18"/>
      <c r="K78" s="27">
        <v>0</v>
      </c>
      <c r="L78" s="26"/>
      <c r="M78" s="27" t="e">
        <f t="shared" si="12"/>
        <v>#DIV/0!</v>
      </c>
      <c r="P78" s="18"/>
      <c r="Q78" s="18"/>
      <c r="R78" s="27">
        <v>0</v>
      </c>
      <c r="S78" s="27">
        <f t="shared" si="10"/>
        <v>0</v>
      </c>
      <c r="U78" s="18"/>
      <c r="V78" s="18"/>
      <c r="W78" s="18"/>
      <c r="X78" s="27">
        <v>0</v>
      </c>
      <c r="Y78" s="27">
        <f t="shared" si="11"/>
        <v>0</v>
      </c>
    </row>
    <row r="79" spans="3:25" x14ac:dyDescent="0.25">
      <c r="C79" s="26"/>
      <c r="D79" s="18"/>
      <c r="E79" s="27">
        <v>0</v>
      </c>
      <c r="F79" s="27">
        <v>0</v>
      </c>
      <c r="G79" s="27" t="e">
        <f t="shared" si="13"/>
        <v>#DIV/0!</v>
      </c>
      <c r="I79" s="18"/>
      <c r="J79" s="18"/>
      <c r="K79" s="27">
        <v>0</v>
      </c>
      <c r="L79" s="26"/>
      <c r="M79" s="27" t="e">
        <f t="shared" si="12"/>
        <v>#DIV/0!</v>
      </c>
      <c r="P79" s="18"/>
      <c r="Q79" s="18"/>
      <c r="R79" s="27">
        <v>0</v>
      </c>
      <c r="S79" s="27">
        <f t="shared" si="10"/>
        <v>0</v>
      </c>
      <c r="U79" s="18"/>
      <c r="V79" s="18"/>
      <c r="W79" s="18"/>
      <c r="X79" s="27">
        <v>0</v>
      </c>
      <c r="Y79" s="27">
        <f t="shared" si="11"/>
        <v>0</v>
      </c>
    </row>
    <row r="80" spans="3:25" x14ac:dyDescent="0.25">
      <c r="C80" s="26"/>
      <c r="D80" s="18"/>
      <c r="E80" s="27">
        <f t="shared" ref="E80:E85" si="14">SUM(X80:Z80)</f>
        <v>0</v>
      </c>
      <c r="F80" s="27">
        <v>0</v>
      </c>
      <c r="G80" s="27" t="e">
        <f t="shared" si="13"/>
        <v>#DIV/0!</v>
      </c>
      <c r="I80" s="18"/>
      <c r="J80" s="18"/>
      <c r="K80" s="27">
        <v>0</v>
      </c>
      <c r="L80" s="26"/>
      <c r="M80" s="27" t="e">
        <f t="shared" si="12"/>
        <v>#DIV/0!</v>
      </c>
      <c r="P80" s="18"/>
      <c r="Q80" s="18"/>
      <c r="R80" s="27">
        <v>0</v>
      </c>
      <c r="S80" s="27">
        <f t="shared" si="10"/>
        <v>0</v>
      </c>
      <c r="U80" s="18"/>
      <c r="V80" s="18"/>
      <c r="W80" s="18"/>
      <c r="X80" s="27">
        <v>0</v>
      </c>
      <c r="Y80" s="27">
        <f t="shared" si="11"/>
        <v>0</v>
      </c>
    </row>
    <row r="81" spans="3:25" x14ac:dyDescent="0.25">
      <c r="C81" s="26"/>
      <c r="D81" s="18"/>
      <c r="E81" s="27">
        <f t="shared" si="14"/>
        <v>0</v>
      </c>
      <c r="F81" s="27">
        <v>0</v>
      </c>
      <c r="G81" s="27" t="e">
        <f t="shared" si="13"/>
        <v>#DIV/0!</v>
      </c>
      <c r="I81" s="18"/>
      <c r="J81" s="18"/>
      <c r="K81" s="27">
        <v>0</v>
      </c>
      <c r="L81" s="26"/>
      <c r="M81" s="27" t="e">
        <f t="shared" si="12"/>
        <v>#DIV/0!</v>
      </c>
      <c r="P81" s="18"/>
      <c r="Q81" s="18"/>
      <c r="R81" s="27">
        <v>0</v>
      </c>
      <c r="S81" s="27">
        <f t="shared" si="10"/>
        <v>0</v>
      </c>
      <c r="U81" s="18"/>
      <c r="V81" s="18"/>
      <c r="W81" s="18"/>
      <c r="X81" s="27">
        <v>0</v>
      </c>
      <c r="Y81" s="27">
        <f t="shared" si="11"/>
        <v>0</v>
      </c>
    </row>
    <row r="82" spans="3:25" x14ac:dyDescent="0.25">
      <c r="C82" s="26"/>
      <c r="D82" s="18"/>
      <c r="E82" s="27">
        <f t="shared" si="14"/>
        <v>0</v>
      </c>
      <c r="F82" s="27">
        <v>0</v>
      </c>
      <c r="G82" s="27" t="e">
        <f t="shared" si="13"/>
        <v>#DIV/0!</v>
      </c>
      <c r="I82" s="18"/>
      <c r="J82" s="18"/>
      <c r="K82" s="27">
        <v>0</v>
      </c>
      <c r="L82" s="26"/>
      <c r="M82" s="27" t="e">
        <f t="shared" si="12"/>
        <v>#DIV/0!</v>
      </c>
      <c r="P82" s="18"/>
      <c r="Q82" s="18"/>
      <c r="R82" s="27">
        <v>0</v>
      </c>
      <c r="S82" s="27">
        <f t="shared" si="10"/>
        <v>0</v>
      </c>
      <c r="U82" s="18"/>
      <c r="V82" s="18"/>
      <c r="W82" s="18"/>
      <c r="X82" s="27">
        <v>0</v>
      </c>
      <c r="Y82" s="27">
        <f t="shared" si="11"/>
        <v>0</v>
      </c>
    </row>
    <row r="83" spans="3:25" x14ac:dyDescent="0.25">
      <c r="C83" s="26"/>
      <c r="D83" s="18"/>
      <c r="E83" s="27">
        <f t="shared" si="14"/>
        <v>0</v>
      </c>
      <c r="F83" s="27">
        <v>0</v>
      </c>
      <c r="G83" s="27" t="e">
        <f t="shared" si="13"/>
        <v>#DIV/0!</v>
      </c>
      <c r="I83" s="18"/>
      <c r="J83" s="18"/>
      <c r="K83" s="27">
        <v>0</v>
      </c>
      <c r="L83" s="26"/>
      <c r="M83" s="27" t="e">
        <f t="shared" si="12"/>
        <v>#DIV/0!</v>
      </c>
      <c r="P83" s="18"/>
      <c r="Q83" s="18"/>
      <c r="R83" s="27">
        <v>0</v>
      </c>
      <c r="S83" s="27">
        <f t="shared" si="10"/>
        <v>0</v>
      </c>
      <c r="U83" s="18"/>
      <c r="V83" s="18"/>
      <c r="W83" s="18"/>
      <c r="X83" s="27">
        <v>0</v>
      </c>
      <c r="Y83" s="27">
        <f t="shared" si="11"/>
        <v>0</v>
      </c>
    </row>
    <row r="84" spans="3:25" x14ac:dyDescent="0.25">
      <c r="C84" s="26"/>
      <c r="D84" s="18"/>
      <c r="E84" s="27">
        <f t="shared" si="14"/>
        <v>0</v>
      </c>
      <c r="F84" s="27">
        <v>0</v>
      </c>
      <c r="G84" s="27" t="e">
        <f t="shared" si="13"/>
        <v>#DIV/0!</v>
      </c>
      <c r="I84" s="18"/>
      <c r="J84" s="18"/>
      <c r="K84" s="27">
        <v>0</v>
      </c>
      <c r="L84" s="26"/>
      <c r="M84" s="27" t="e">
        <f t="shared" si="12"/>
        <v>#DIV/0!</v>
      </c>
      <c r="P84" s="18"/>
      <c r="Q84" s="18"/>
      <c r="R84" s="27">
        <v>0</v>
      </c>
      <c r="S84" s="27">
        <f t="shared" si="10"/>
        <v>0</v>
      </c>
      <c r="U84" s="18"/>
      <c r="V84" s="18"/>
      <c r="W84" s="18"/>
      <c r="X84" s="27">
        <v>0</v>
      </c>
      <c r="Y84" s="27">
        <f t="shared" si="11"/>
        <v>0</v>
      </c>
    </row>
    <row r="85" spans="3:25" x14ac:dyDescent="0.25">
      <c r="C85" s="26"/>
      <c r="D85" s="18"/>
      <c r="E85" s="27">
        <f t="shared" si="14"/>
        <v>0</v>
      </c>
      <c r="F85" s="27">
        <v>0</v>
      </c>
      <c r="G85" s="27" t="e">
        <f t="shared" si="13"/>
        <v>#DIV/0!</v>
      </c>
      <c r="I85" s="18"/>
      <c r="J85" s="18"/>
      <c r="K85" s="27">
        <v>0</v>
      </c>
      <c r="L85" s="26"/>
      <c r="M85" s="27" t="e">
        <f t="shared" si="12"/>
        <v>#DIV/0!</v>
      </c>
      <c r="P85" s="18"/>
      <c r="Q85" s="18"/>
      <c r="R85" s="27">
        <v>0</v>
      </c>
      <c r="S85" s="27">
        <f t="shared" si="10"/>
        <v>0</v>
      </c>
      <c r="U85" s="18"/>
      <c r="V85" s="18"/>
      <c r="W85" s="18"/>
      <c r="X85" s="27">
        <v>0</v>
      </c>
      <c r="Y85" s="27">
        <f t="shared" si="11"/>
        <v>0</v>
      </c>
    </row>
    <row r="86" spans="3:25" x14ac:dyDescent="0.25">
      <c r="C86" s="18" t="s">
        <v>59</v>
      </c>
      <c r="D86" s="18"/>
      <c r="E86" s="57">
        <f>SUM(E68:E85)</f>
        <v>2936</v>
      </c>
      <c r="F86" s="18"/>
      <c r="G86" s="18"/>
      <c r="I86" s="18" t="s">
        <v>59</v>
      </c>
      <c r="J86" s="18"/>
      <c r="K86" s="22">
        <f>SUM(K68:K85)</f>
        <v>0</v>
      </c>
      <c r="L86" s="26"/>
      <c r="M86" s="18"/>
      <c r="P86" s="83" t="s">
        <v>27</v>
      </c>
      <c r="Q86" s="84"/>
      <c r="R86" s="85"/>
      <c r="S86" s="58">
        <f>SUM(S68:S85)</f>
        <v>38</v>
      </c>
      <c r="U86" s="83" t="s">
        <v>27</v>
      </c>
      <c r="V86" s="84"/>
      <c r="W86" s="84"/>
      <c r="X86" s="85"/>
      <c r="Y86" s="58">
        <f>SUM(Y68:Y85)</f>
        <v>98</v>
      </c>
    </row>
    <row r="91" spans="3:25" x14ac:dyDescent="0.25">
      <c r="C91" t="s">
        <v>190</v>
      </c>
    </row>
    <row r="92" spans="3:25" x14ac:dyDescent="0.25">
      <c r="C92" s="43" t="s">
        <v>76</v>
      </c>
      <c r="D92" s="65"/>
      <c r="P92" s="18" t="str">
        <f>C91</f>
        <v>FECHA:JUEVES</v>
      </c>
      <c r="U92" s="18" t="str">
        <f>P92</f>
        <v>FECHA:JUEVES</v>
      </c>
    </row>
    <row r="93" spans="3:25" x14ac:dyDescent="0.25">
      <c r="C93" s="74" t="s">
        <v>7</v>
      </c>
      <c r="D93" s="75"/>
      <c r="E93" s="75"/>
      <c r="F93" s="75"/>
      <c r="G93" s="76"/>
      <c r="I93" s="77" t="s">
        <v>8</v>
      </c>
      <c r="J93" s="78"/>
      <c r="K93" s="78"/>
      <c r="L93" s="78"/>
      <c r="M93" s="79"/>
      <c r="P93" s="74" t="s">
        <v>9</v>
      </c>
      <c r="Q93" s="75"/>
      <c r="R93" s="75"/>
      <c r="S93" s="76"/>
      <c r="U93" s="80" t="s">
        <v>77</v>
      </c>
      <c r="V93" s="81"/>
      <c r="W93" s="81"/>
      <c r="X93" s="81"/>
      <c r="Y93" s="82"/>
    </row>
    <row r="94" spans="3:25" x14ac:dyDescent="0.25">
      <c r="C94" s="18" t="s">
        <v>19</v>
      </c>
      <c r="D94" s="18" t="s">
        <v>20</v>
      </c>
      <c r="E94" s="18" t="s">
        <v>21</v>
      </c>
      <c r="F94" s="18" t="s">
        <v>22</v>
      </c>
      <c r="G94" s="18" t="s">
        <v>23</v>
      </c>
      <c r="I94" s="18" t="s">
        <v>19</v>
      </c>
      <c r="J94" s="18" t="s">
        <v>20</v>
      </c>
      <c r="K94" s="18" t="s">
        <v>21</v>
      </c>
      <c r="L94" s="18" t="s">
        <v>22</v>
      </c>
      <c r="M94" s="18" t="s">
        <v>23</v>
      </c>
      <c r="P94" s="18" t="s">
        <v>24</v>
      </c>
      <c r="Q94" s="18" t="s">
        <v>25</v>
      </c>
      <c r="R94" s="18" t="s">
        <v>26</v>
      </c>
      <c r="S94" s="18" t="s">
        <v>27</v>
      </c>
      <c r="U94" s="18" t="s">
        <v>24</v>
      </c>
      <c r="V94" s="18" t="s">
        <v>25</v>
      </c>
      <c r="W94" s="18"/>
      <c r="X94" s="18" t="s">
        <v>26</v>
      </c>
      <c r="Y94" s="18" t="s">
        <v>27</v>
      </c>
    </row>
    <row r="95" spans="3:25" x14ac:dyDescent="0.25">
      <c r="C95" s="26">
        <v>2</v>
      </c>
      <c r="D95" s="18" t="s">
        <v>191</v>
      </c>
      <c r="E95" s="27">
        <v>860</v>
      </c>
      <c r="F95" s="27">
        <v>2</v>
      </c>
      <c r="G95" s="27">
        <f>E95/F95</f>
        <v>430</v>
      </c>
      <c r="I95" s="18"/>
      <c r="J95" s="18"/>
      <c r="K95" s="27">
        <v>0</v>
      </c>
      <c r="L95" s="28"/>
      <c r="M95" s="27" t="e">
        <f>K95/L95</f>
        <v>#DIV/0!</v>
      </c>
      <c r="P95" s="18">
        <v>3</v>
      </c>
      <c r="Q95" s="18" t="s">
        <v>187</v>
      </c>
      <c r="R95" s="27">
        <v>11</v>
      </c>
      <c r="S95" s="27">
        <f t="shared" ref="S95:S112" si="15">P95*R95</f>
        <v>33</v>
      </c>
      <c r="U95" s="18">
        <v>1</v>
      </c>
      <c r="V95" s="18" t="s">
        <v>107</v>
      </c>
      <c r="W95" s="18"/>
      <c r="X95" s="27">
        <v>25</v>
      </c>
      <c r="Y95" s="27">
        <f t="shared" ref="Y95:Y112" si="16">U95*X95</f>
        <v>25</v>
      </c>
    </row>
    <row r="96" spans="3:25" x14ac:dyDescent="0.25">
      <c r="C96" s="26">
        <v>1</v>
      </c>
      <c r="D96" s="18" t="s">
        <v>192</v>
      </c>
      <c r="E96" s="27">
        <v>550</v>
      </c>
      <c r="F96" s="27">
        <v>30</v>
      </c>
      <c r="G96" s="27">
        <f>E96/F96</f>
        <v>18.333333333333332</v>
      </c>
      <c r="I96" s="18"/>
      <c r="J96" s="18"/>
      <c r="K96" s="27">
        <v>0</v>
      </c>
      <c r="L96" s="28"/>
      <c r="M96" s="27" t="e">
        <f t="shared" ref="M96:M112" si="17">K96/L96</f>
        <v>#DIV/0!</v>
      </c>
      <c r="P96" s="18">
        <v>1</v>
      </c>
      <c r="Q96" s="18" t="s">
        <v>193</v>
      </c>
      <c r="R96" s="27">
        <v>13</v>
      </c>
      <c r="S96" s="27">
        <f t="shared" si="15"/>
        <v>13</v>
      </c>
      <c r="U96" s="18">
        <v>1</v>
      </c>
      <c r="V96" s="18" t="s">
        <v>194</v>
      </c>
      <c r="W96" s="18"/>
      <c r="X96" s="27">
        <v>6</v>
      </c>
      <c r="Y96" s="27">
        <f t="shared" si="16"/>
        <v>6</v>
      </c>
    </row>
    <row r="97" spans="3:25" x14ac:dyDescent="0.25">
      <c r="C97" s="26"/>
      <c r="D97" s="18"/>
      <c r="E97" s="27" t="s">
        <v>195</v>
      </c>
      <c r="F97" s="27">
        <v>0</v>
      </c>
      <c r="G97" s="27" t="e">
        <f t="shared" ref="G97:G112" si="18">E97/F97</f>
        <v>#VALUE!</v>
      </c>
      <c r="I97" s="18"/>
      <c r="J97" s="18"/>
      <c r="K97" s="27">
        <v>0</v>
      </c>
      <c r="L97" s="26"/>
      <c r="M97" s="27" t="e">
        <f t="shared" si="17"/>
        <v>#DIV/0!</v>
      </c>
      <c r="P97" s="18"/>
      <c r="Q97" s="18"/>
      <c r="R97" s="27">
        <v>0</v>
      </c>
      <c r="S97" s="27">
        <f t="shared" si="15"/>
        <v>0</v>
      </c>
      <c r="U97" s="18">
        <v>10</v>
      </c>
      <c r="V97" s="18" t="s">
        <v>82</v>
      </c>
      <c r="W97" s="18"/>
      <c r="X97" s="27">
        <v>25</v>
      </c>
      <c r="Y97" s="27">
        <f t="shared" si="16"/>
        <v>250</v>
      </c>
    </row>
    <row r="98" spans="3:25" x14ac:dyDescent="0.25">
      <c r="C98" s="26"/>
      <c r="D98" s="18"/>
      <c r="E98" s="27">
        <v>0</v>
      </c>
      <c r="F98" s="27">
        <v>0</v>
      </c>
      <c r="G98" s="27" t="e">
        <f t="shared" si="18"/>
        <v>#DIV/0!</v>
      </c>
      <c r="I98" s="18"/>
      <c r="J98" s="18"/>
      <c r="K98" s="27">
        <v>0</v>
      </c>
      <c r="L98" s="26"/>
      <c r="M98" s="27" t="e">
        <f t="shared" si="17"/>
        <v>#DIV/0!</v>
      </c>
      <c r="P98" s="18"/>
      <c r="Q98" s="18"/>
      <c r="R98" s="27">
        <v>0</v>
      </c>
      <c r="S98" s="27">
        <f t="shared" si="15"/>
        <v>0</v>
      </c>
      <c r="U98" s="18"/>
      <c r="V98" s="18"/>
      <c r="W98" s="18"/>
      <c r="X98" s="27">
        <v>0</v>
      </c>
      <c r="Y98" s="27">
        <f t="shared" si="16"/>
        <v>0</v>
      </c>
    </row>
    <row r="99" spans="3:25" x14ac:dyDescent="0.25">
      <c r="C99" s="26"/>
      <c r="D99" s="18"/>
      <c r="E99" s="27">
        <v>0</v>
      </c>
      <c r="F99" s="27">
        <v>0</v>
      </c>
      <c r="G99" s="27" t="e">
        <f t="shared" si="18"/>
        <v>#DIV/0!</v>
      </c>
      <c r="I99" s="18"/>
      <c r="J99" s="18"/>
      <c r="K99" s="27">
        <v>0</v>
      </c>
      <c r="L99" s="26"/>
      <c r="M99" s="27" t="e">
        <f t="shared" si="17"/>
        <v>#DIV/0!</v>
      </c>
      <c r="P99" s="18"/>
      <c r="Q99" s="18"/>
      <c r="R99" s="27">
        <v>0</v>
      </c>
      <c r="S99" s="27">
        <f t="shared" si="15"/>
        <v>0</v>
      </c>
      <c r="U99" s="18"/>
      <c r="V99" s="18"/>
      <c r="W99" s="18"/>
      <c r="X99" s="27">
        <v>0</v>
      </c>
      <c r="Y99" s="27">
        <f t="shared" si="16"/>
        <v>0</v>
      </c>
    </row>
    <row r="100" spans="3:25" x14ac:dyDescent="0.25">
      <c r="C100" s="26"/>
      <c r="D100" s="18"/>
      <c r="E100" s="27">
        <v>0</v>
      </c>
      <c r="F100" s="27">
        <v>0</v>
      </c>
      <c r="G100" s="27" t="e">
        <f t="shared" si="18"/>
        <v>#DIV/0!</v>
      </c>
      <c r="I100" s="18"/>
      <c r="J100" s="18"/>
      <c r="K100" s="27">
        <v>0</v>
      </c>
      <c r="L100" s="26"/>
      <c r="M100" s="27" t="e">
        <f t="shared" si="17"/>
        <v>#DIV/0!</v>
      </c>
      <c r="P100" s="18"/>
      <c r="Q100" s="18"/>
      <c r="R100" s="27">
        <v>0</v>
      </c>
      <c r="S100" s="27">
        <f t="shared" si="15"/>
        <v>0</v>
      </c>
      <c r="U100" s="18"/>
      <c r="V100" s="18"/>
      <c r="W100" s="18"/>
      <c r="X100" s="27">
        <v>0</v>
      </c>
      <c r="Y100" s="27">
        <f t="shared" si="16"/>
        <v>0</v>
      </c>
    </row>
    <row r="101" spans="3:25" x14ac:dyDescent="0.25">
      <c r="C101" s="26"/>
      <c r="D101" s="18"/>
      <c r="E101" s="27">
        <v>0</v>
      </c>
      <c r="F101" s="27">
        <v>0</v>
      </c>
      <c r="G101" s="27" t="e">
        <f t="shared" si="18"/>
        <v>#DIV/0!</v>
      </c>
      <c r="I101" s="18"/>
      <c r="J101" s="18"/>
      <c r="K101" s="27">
        <v>0</v>
      </c>
      <c r="L101" s="26"/>
      <c r="M101" s="27" t="e">
        <f t="shared" si="17"/>
        <v>#DIV/0!</v>
      </c>
      <c r="P101" s="18"/>
      <c r="Q101" s="18"/>
      <c r="R101" s="27">
        <v>0</v>
      </c>
      <c r="S101" s="27">
        <f t="shared" si="15"/>
        <v>0</v>
      </c>
      <c r="U101" s="18"/>
      <c r="V101" s="18"/>
      <c r="W101" s="18"/>
      <c r="X101" s="27">
        <v>0</v>
      </c>
      <c r="Y101" s="27">
        <f t="shared" si="16"/>
        <v>0</v>
      </c>
    </row>
    <row r="102" spans="3:25" x14ac:dyDescent="0.25">
      <c r="C102" s="26"/>
      <c r="D102" s="18"/>
      <c r="E102" s="27">
        <v>0</v>
      </c>
      <c r="F102" s="27">
        <v>0</v>
      </c>
      <c r="G102" s="27" t="e">
        <f t="shared" si="18"/>
        <v>#DIV/0!</v>
      </c>
      <c r="I102" s="18"/>
      <c r="J102" s="18"/>
      <c r="K102" s="27">
        <v>0</v>
      </c>
      <c r="L102" s="26"/>
      <c r="M102" s="27" t="e">
        <f t="shared" si="17"/>
        <v>#DIV/0!</v>
      </c>
      <c r="P102" s="18"/>
      <c r="Q102" s="18"/>
      <c r="R102" s="27">
        <v>0</v>
      </c>
      <c r="S102" s="27">
        <f t="shared" si="15"/>
        <v>0</v>
      </c>
      <c r="U102" s="18"/>
      <c r="V102" s="18"/>
      <c r="W102" s="18"/>
      <c r="X102" s="27">
        <v>0</v>
      </c>
      <c r="Y102" s="27">
        <f t="shared" si="16"/>
        <v>0</v>
      </c>
    </row>
    <row r="103" spans="3:25" x14ac:dyDescent="0.25">
      <c r="C103" s="26"/>
      <c r="D103" s="18"/>
      <c r="E103" s="27">
        <v>0</v>
      </c>
      <c r="F103" s="27">
        <v>0</v>
      </c>
      <c r="G103" s="27" t="e">
        <f t="shared" si="18"/>
        <v>#DIV/0!</v>
      </c>
      <c r="I103" s="18"/>
      <c r="J103" s="18"/>
      <c r="K103" s="27">
        <v>0</v>
      </c>
      <c r="L103" s="26"/>
      <c r="M103" s="27" t="e">
        <f t="shared" si="17"/>
        <v>#DIV/0!</v>
      </c>
      <c r="P103" s="18"/>
      <c r="Q103" s="18"/>
      <c r="R103" s="27">
        <v>0</v>
      </c>
      <c r="S103" s="27">
        <f t="shared" si="15"/>
        <v>0</v>
      </c>
      <c r="U103" s="18"/>
      <c r="V103" s="18"/>
      <c r="W103" s="18"/>
      <c r="X103" s="27">
        <v>0</v>
      </c>
      <c r="Y103" s="27">
        <f t="shared" si="16"/>
        <v>0</v>
      </c>
    </row>
    <row r="104" spans="3:25" x14ac:dyDescent="0.25">
      <c r="C104" s="26"/>
      <c r="D104" s="18"/>
      <c r="E104" s="27">
        <v>0</v>
      </c>
      <c r="F104" s="27">
        <v>0</v>
      </c>
      <c r="G104" s="27" t="e">
        <f t="shared" si="18"/>
        <v>#DIV/0!</v>
      </c>
      <c r="I104" s="18"/>
      <c r="J104" s="18"/>
      <c r="K104" s="27">
        <v>0</v>
      </c>
      <c r="L104" s="26"/>
      <c r="M104" s="27" t="e">
        <f t="shared" si="17"/>
        <v>#DIV/0!</v>
      </c>
      <c r="P104" s="18"/>
      <c r="Q104" s="18"/>
      <c r="R104" s="27">
        <v>0</v>
      </c>
      <c r="S104" s="27">
        <f t="shared" si="15"/>
        <v>0</v>
      </c>
      <c r="U104" s="18"/>
      <c r="V104" s="18"/>
      <c r="W104" s="18"/>
      <c r="X104" s="27">
        <v>0</v>
      </c>
      <c r="Y104" s="27">
        <f t="shared" si="16"/>
        <v>0</v>
      </c>
    </row>
    <row r="105" spans="3:25" x14ac:dyDescent="0.25">
      <c r="C105" s="26"/>
      <c r="D105" s="18"/>
      <c r="E105" s="27">
        <v>0</v>
      </c>
      <c r="F105" s="27">
        <v>0</v>
      </c>
      <c r="G105" s="27" t="e">
        <f t="shared" si="18"/>
        <v>#DIV/0!</v>
      </c>
      <c r="I105" s="18"/>
      <c r="J105" s="18"/>
      <c r="K105" s="27">
        <v>0</v>
      </c>
      <c r="L105" s="26"/>
      <c r="M105" s="27" t="e">
        <f t="shared" si="17"/>
        <v>#DIV/0!</v>
      </c>
      <c r="P105" s="18"/>
      <c r="Q105" s="18"/>
      <c r="R105" s="27">
        <v>0</v>
      </c>
      <c r="S105" s="27">
        <f t="shared" si="15"/>
        <v>0</v>
      </c>
      <c r="U105" s="18"/>
      <c r="V105" s="18"/>
      <c r="W105" s="18"/>
      <c r="X105" s="27">
        <v>0</v>
      </c>
      <c r="Y105" s="27">
        <f t="shared" si="16"/>
        <v>0</v>
      </c>
    </row>
    <row r="106" spans="3:25" x14ac:dyDescent="0.25">
      <c r="C106" s="26"/>
      <c r="D106" s="18"/>
      <c r="E106" s="27">
        <v>0</v>
      </c>
      <c r="F106" s="27">
        <v>0</v>
      </c>
      <c r="G106" s="27" t="e">
        <f t="shared" si="18"/>
        <v>#DIV/0!</v>
      </c>
      <c r="I106" s="18"/>
      <c r="J106" s="18"/>
      <c r="K106" s="27">
        <v>0</v>
      </c>
      <c r="L106" s="26"/>
      <c r="M106" s="27" t="e">
        <f t="shared" si="17"/>
        <v>#DIV/0!</v>
      </c>
      <c r="P106" s="18"/>
      <c r="Q106" s="18"/>
      <c r="R106" s="27">
        <v>0</v>
      </c>
      <c r="S106" s="27">
        <f t="shared" si="15"/>
        <v>0</v>
      </c>
      <c r="U106" s="18"/>
      <c r="V106" s="18"/>
      <c r="W106" s="18"/>
      <c r="X106" s="27">
        <v>0</v>
      </c>
      <c r="Y106" s="27">
        <f t="shared" si="16"/>
        <v>0</v>
      </c>
    </row>
    <row r="107" spans="3:25" x14ac:dyDescent="0.25">
      <c r="C107" s="26"/>
      <c r="D107" s="18"/>
      <c r="E107" s="27">
        <f t="shared" ref="E107:E112" si="19">SUM(X107:Z107)</f>
        <v>0</v>
      </c>
      <c r="F107" s="27">
        <v>0</v>
      </c>
      <c r="G107" s="27" t="e">
        <f t="shared" si="18"/>
        <v>#DIV/0!</v>
      </c>
      <c r="I107" s="18"/>
      <c r="J107" s="18"/>
      <c r="K107" s="27">
        <v>0</v>
      </c>
      <c r="L107" s="26"/>
      <c r="M107" s="27" t="e">
        <f t="shared" si="17"/>
        <v>#DIV/0!</v>
      </c>
      <c r="P107" s="18"/>
      <c r="Q107" s="18"/>
      <c r="R107" s="27">
        <v>0</v>
      </c>
      <c r="S107" s="27">
        <f t="shared" si="15"/>
        <v>0</v>
      </c>
      <c r="U107" s="18"/>
      <c r="V107" s="18"/>
      <c r="W107" s="18"/>
      <c r="X107" s="27">
        <v>0</v>
      </c>
      <c r="Y107" s="27">
        <f t="shared" si="16"/>
        <v>0</v>
      </c>
    </row>
    <row r="108" spans="3:25" x14ac:dyDescent="0.25">
      <c r="C108" s="26"/>
      <c r="D108" s="18"/>
      <c r="E108" s="27">
        <f t="shared" si="19"/>
        <v>0</v>
      </c>
      <c r="F108" s="27">
        <v>0</v>
      </c>
      <c r="G108" s="27" t="e">
        <f t="shared" si="18"/>
        <v>#DIV/0!</v>
      </c>
      <c r="I108" s="18"/>
      <c r="J108" s="18"/>
      <c r="K108" s="27">
        <v>0</v>
      </c>
      <c r="L108" s="26"/>
      <c r="M108" s="27" t="e">
        <f t="shared" si="17"/>
        <v>#DIV/0!</v>
      </c>
      <c r="P108" s="18"/>
      <c r="Q108" s="18"/>
      <c r="R108" s="27">
        <v>0</v>
      </c>
      <c r="S108" s="27">
        <f t="shared" si="15"/>
        <v>0</v>
      </c>
      <c r="U108" s="18"/>
      <c r="V108" s="18"/>
      <c r="W108" s="18"/>
      <c r="X108" s="27">
        <v>0</v>
      </c>
      <c r="Y108" s="27">
        <f t="shared" si="16"/>
        <v>0</v>
      </c>
    </row>
    <row r="109" spans="3:25" x14ac:dyDescent="0.25">
      <c r="C109" s="26"/>
      <c r="D109" s="18"/>
      <c r="E109" s="27">
        <f t="shared" si="19"/>
        <v>0</v>
      </c>
      <c r="F109" s="27">
        <v>0</v>
      </c>
      <c r="G109" s="27" t="e">
        <f t="shared" si="18"/>
        <v>#DIV/0!</v>
      </c>
      <c r="I109" s="18"/>
      <c r="J109" s="18"/>
      <c r="K109" s="27">
        <v>0</v>
      </c>
      <c r="L109" s="26"/>
      <c r="M109" s="27" t="e">
        <f t="shared" si="17"/>
        <v>#DIV/0!</v>
      </c>
      <c r="P109" s="18"/>
      <c r="Q109" s="18"/>
      <c r="R109" s="27">
        <v>0</v>
      </c>
      <c r="S109" s="27">
        <f t="shared" si="15"/>
        <v>0</v>
      </c>
      <c r="U109" s="18"/>
      <c r="V109" s="18"/>
      <c r="W109" s="18"/>
      <c r="X109" s="27">
        <v>0</v>
      </c>
      <c r="Y109" s="27">
        <f t="shared" si="16"/>
        <v>0</v>
      </c>
    </row>
    <row r="110" spans="3:25" x14ac:dyDescent="0.25">
      <c r="C110" s="26"/>
      <c r="D110" s="18"/>
      <c r="E110" s="27">
        <f t="shared" si="19"/>
        <v>0</v>
      </c>
      <c r="F110" s="27">
        <v>0</v>
      </c>
      <c r="G110" s="27" t="e">
        <f t="shared" si="18"/>
        <v>#DIV/0!</v>
      </c>
      <c r="I110" s="18"/>
      <c r="J110" s="18"/>
      <c r="K110" s="27">
        <v>0</v>
      </c>
      <c r="L110" s="26"/>
      <c r="M110" s="27" t="e">
        <f t="shared" si="17"/>
        <v>#DIV/0!</v>
      </c>
      <c r="P110" s="18"/>
      <c r="Q110" s="18"/>
      <c r="R110" s="27">
        <v>0</v>
      </c>
      <c r="S110" s="27">
        <f t="shared" si="15"/>
        <v>0</v>
      </c>
      <c r="U110" s="18"/>
      <c r="V110" s="18"/>
      <c r="W110" s="18"/>
      <c r="X110" s="27">
        <v>0</v>
      </c>
      <c r="Y110" s="27">
        <f t="shared" si="16"/>
        <v>0</v>
      </c>
    </row>
    <row r="111" spans="3:25" x14ac:dyDescent="0.25">
      <c r="C111" s="26"/>
      <c r="D111" s="18"/>
      <c r="E111" s="27">
        <f t="shared" si="19"/>
        <v>0</v>
      </c>
      <c r="F111" s="27">
        <v>0</v>
      </c>
      <c r="G111" s="27" t="e">
        <f t="shared" si="18"/>
        <v>#DIV/0!</v>
      </c>
      <c r="I111" s="18"/>
      <c r="J111" s="18"/>
      <c r="K111" s="27">
        <v>0</v>
      </c>
      <c r="L111" s="26"/>
      <c r="M111" s="27" t="e">
        <f t="shared" si="17"/>
        <v>#DIV/0!</v>
      </c>
      <c r="P111" s="18"/>
      <c r="Q111" s="18"/>
      <c r="R111" s="27">
        <v>0</v>
      </c>
      <c r="S111" s="27">
        <f t="shared" si="15"/>
        <v>0</v>
      </c>
      <c r="U111" s="18"/>
      <c r="V111" s="18"/>
      <c r="W111" s="18"/>
      <c r="X111" s="27">
        <v>0</v>
      </c>
      <c r="Y111" s="27">
        <f t="shared" si="16"/>
        <v>0</v>
      </c>
    </row>
    <row r="112" spans="3:25" x14ac:dyDescent="0.25">
      <c r="C112" s="26"/>
      <c r="D112" s="18"/>
      <c r="E112" s="27">
        <f t="shared" si="19"/>
        <v>0</v>
      </c>
      <c r="F112" s="27">
        <v>0</v>
      </c>
      <c r="G112" s="27" t="e">
        <f t="shared" si="18"/>
        <v>#DIV/0!</v>
      </c>
      <c r="I112" s="18"/>
      <c r="J112" s="18"/>
      <c r="K112" s="27">
        <v>0</v>
      </c>
      <c r="L112" s="26"/>
      <c r="M112" s="27" t="e">
        <f t="shared" si="17"/>
        <v>#DIV/0!</v>
      </c>
      <c r="P112" s="18"/>
      <c r="Q112" s="18"/>
      <c r="R112" s="27">
        <v>0</v>
      </c>
      <c r="S112" s="27">
        <f t="shared" si="15"/>
        <v>0</v>
      </c>
      <c r="U112" s="18"/>
      <c r="V112" s="18"/>
      <c r="W112" s="18"/>
      <c r="X112" s="27">
        <v>0</v>
      </c>
      <c r="Y112" s="27">
        <f t="shared" si="16"/>
        <v>0</v>
      </c>
    </row>
    <row r="113" spans="3:25" x14ac:dyDescent="0.25">
      <c r="C113" s="18" t="s">
        <v>59</v>
      </c>
      <c r="D113" s="18"/>
      <c r="E113" s="57">
        <f>SUM(E95:E112)</f>
        <v>1410</v>
      </c>
      <c r="F113" s="18"/>
      <c r="G113" s="18"/>
      <c r="I113" s="18" t="s">
        <v>59</v>
      </c>
      <c r="J113" s="18"/>
      <c r="K113" s="22">
        <f>SUM(K95:K112)</f>
        <v>0</v>
      </c>
      <c r="L113" s="26"/>
      <c r="M113" s="18"/>
      <c r="P113" s="83" t="s">
        <v>27</v>
      </c>
      <c r="Q113" s="84"/>
      <c r="R113" s="85"/>
      <c r="S113" s="58">
        <f>SUM(S95:S112)</f>
        <v>46</v>
      </c>
      <c r="U113" s="83" t="s">
        <v>27</v>
      </c>
      <c r="V113" s="84"/>
      <c r="W113" s="84"/>
      <c r="X113" s="85"/>
      <c r="Y113" s="58">
        <f>SUM(Y95:Y112)</f>
        <v>281</v>
      </c>
    </row>
    <row r="118" spans="3:25" x14ac:dyDescent="0.25">
      <c r="C118" s="68" t="s">
        <v>196</v>
      </c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 spans="3:25" x14ac:dyDescent="0.25">
      <c r="C119" s="69" t="s">
        <v>76</v>
      </c>
      <c r="D119" s="70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16" t="str">
        <f>C118</f>
        <v>FECHA: VIERNES</v>
      </c>
      <c r="Q119" s="68"/>
      <c r="R119" s="68"/>
      <c r="S119" s="68"/>
      <c r="T119" s="68"/>
      <c r="U119" s="16" t="str">
        <f>P119</f>
        <v>FECHA: VIERNES</v>
      </c>
      <c r="V119" s="68"/>
      <c r="W119" s="68"/>
      <c r="X119" s="68"/>
      <c r="Y119" s="68"/>
    </row>
    <row r="120" spans="3:25" x14ac:dyDescent="0.25">
      <c r="C120" s="89" t="s">
        <v>7</v>
      </c>
      <c r="D120" s="90"/>
      <c r="E120" s="90"/>
      <c r="F120" s="90"/>
      <c r="G120" s="91"/>
      <c r="H120" s="68"/>
      <c r="I120" s="89" t="s">
        <v>8</v>
      </c>
      <c r="J120" s="90"/>
      <c r="K120" s="90"/>
      <c r="L120" s="90"/>
      <c r="M120" s="91"/>
      <c r="N120" s="68"/>
      <c r="O120" s="68"/>
      <c r="P120" s="89" t="s">
        <v>9</v>
      </c>
      <c r="Q120" s="90"/>
      <c r="R120" s="90"/>
      <c r="S120" s="91"/>
      <c r="T120" s="68"/>
      <c r="U120" s="89" t="s">
        <v>77</v>
      </c>
      <c r="V120" s="90"/>
      <c r="W120" s="90"/>
      <c r="X120" s="90"/>
      <c r="Y120" s="91"/>
    </row>
    <row r="121" spans="3:25" x14ac:dyDescent="0.25">
      <c r="C121" s="16" t="s">
        <v>19</v>
      </c>
      <c r="D121" s="16" t="s">
        <v>20</v>
      </c>
      <c r="E121" s="16" t="s">
        <v>21</v>
      </c>
      <c r="F121" s="16" t="s">
        <v>22</v>
      </c>
      <c r="G121" s="16" t="s">
        <v>23</v>
      </c>
      <c r="H121" s="68"/>
      <c r="I121" s="16" t="s">
        <v>19</v>
      </c>
      <c r="J121" s="16" t="s">
        <v>20</v>
      </c>
      <c r="K121" s="16" t="s">
        <v>21</v>
      </c>
      <c r="L121" s="16" t="s">
        <v>22</v>
      </c>
      <c r="M121" s="16" t="s">
        <v>23</v>
      </c>
      <c r="N121" s="68"/>
      <c r="O121" s="68"/>
      <c r="P121" s="16" t="s">
        <v>24</v>
      </c>
      <c r="Q121" s="16" t="s">
        <v>25</v>
      </c>
      <c r="R121" s="16" t="s">
        <v>26</v>
      </c>
      <c r="S121" s="16" t="s">
        <v>27</v>
      </c>
      <c r="T121" s="68"/>
      <c r="U121" s="16" t="s">
        <v>24</v>
      </c>
      <c r="V121" s="16" t="s">
        <v>25</v>
      </c>
      <c r="W121" s="16"/>
      <c r="X121" s="16" t="s">
        <v>26</v>
      </c>
      <c r="Y121" s="16" t="s">
        <v>27</v>
      </c>
    </row>
    <row r="122" spans="3:25" x14ac:dyDescent="0.25">
      <c r="C122" s="71"/>
      <c r="D122" s="16"/>
      <c r="E122" s="72">
        <v>0</v>
      </c>
      <c r="F122" s="72">
        <v>0</v>
      </c>
      <c r="G122" s="72" t="e">
        <f>E122/F122</f>
        <v>#DIV/0!</v>
      </c>
      <c r="H122" s="68"/>
      <c r="I122" s="16"/>
      <c r="J122" s="16"/>
      <c r="K122" s="72">
        <v>0</v>
      </c>
      <c r="L122" s="73"/>
      <c r="M122" s="72" t="e">
        <f>K122/L122</f>
        <v>#DIV/0!</v>
      </c>
      <c r="N122" s="68"/>
      <c r="O122" s="68"/>
      <c r="P122" s="16"/>
      <c r="Q122" s="16"/>
      <c r="R122" s="72">
        <v>0</v>
      </c>
      <c r="S122" s="72">
        <f t="shared" ref="S122:S139" si="20">P122*R122</f>
        <v>0</v>
      </c>
      <c r="T122" s="68"/>
      <c r="U122" s="16"/>
      <c r="V122" s="16"/>
      <c r="W122" s="16"/>
      <c r="X122" s="72">
        <v>0</v>
      </c>
      <c r="Y122" s="72">
        <f t="shared" ref="Y122:Y139" si="21">U122*X122</f>
        <v>0</v>
      </c>
    </row>
    <row r="123" spans="3:25" x14ac:dyDescent="0.25">
      <c r="C123" s="71"/>
      <c r="D123" s="16"/>
      <c r="E123" s="72">
        <v>0</v>
      </c>
      <c r="F123" s="72">
        <v>0</v>
      </c>
      <c r="G123" s="72" t="e">
        <f>E123/F123</f>
        <v>#DIV/0!</v>
      </c>
      <c r="H123" s="68"/>
      <c r="I123" s="16"/>
      <c r="J123" s="16"/>
      <c r="K123" s="72">
        <v>0</v>
      </c>
      <c r="L123" s="73"/>
      <c r="M123" s="72" t="e">
        <f t="shared" ref="M123:M139" si="22">K123/L123</f>
        <v>#DIV/0!</v>
      </c>
      <c r="N123" s="68"/>
      <c r="O123" s="68"/>
      <c r="P123" s="16"/>
      <c r="Q123" s="16"/>
      <c r="R123" s="72">
        <v>0</v>
      </c>
      <c r="S123" s="72">
        <f t="shared" si="20"/>
        <v>0</v>
      </c>
      <c r="T123" s="68"/>
      <c r="U123" s="16"/>
      <c r="V123" s="16"/>
      <c r="W123" s="16"/>
      <c r="X123" s="72">
        <v>0</v>
      </c>
      <c r="Y123" s="72">
        <f t="shared" si="21"/>
        <v>0</v>
      </c>
    </row>
    <row r="124" spans="3:25" x14ac:dyDescent="0.25">
      <c r="C124" s="71"/>
      <c r="D124" s="16"/>
      <c r="E124" s="72">
        <v>0</v>
      </c>
      <c r="F124" s="72">
        <v>0</v>
      </c>
      <c r="G124" s="72" t="e">
        <f t="shared" ref="G124:G139" si="23">E124/F124</f>
        <v>#DIV/0!</v>
      </c>
      <c r="H124" s="68"/>
      <c r="I124" s="16"/>
      <c r="J124" s="16"/>
      <c r="K124" s="72">
        <v>0</v>
      </c>
      <c r="L124" s="71"/>
      <c r="M124" s="72" t="e">
        <f t="shared" si="22"/>
        <v>#DIV/0!</v>
      </c>
      <c r="N124" s="68"/>
      <c r="O124" s="68"/>
      <c r="P124" s="16"/>
      <c r="Q124" s="16"/>
      <c r="R124" s="72">
        <v>0</v>
      </c>
      <c r="S124" s="72">
        <f t="shared" si="20"/>
        <v>0</v>
      </c>
      <c r="T124" s="68"/>
      <c r="U124" s="16"/>
      <c r="V124" s="16"/>
      <c r="W124" s="16"/>
      <c r="X124" s="72">
        <v>0</v>
      </c>
      <c r="Y124" s="72">
        <f t="shared" si="21"/>
        <v>0</v>
      </c>
    </row>
    <row r="125" spans="3:25" x14ac:dyDescent="0.25">
      <c r="C125" s="71"/>
      <c r="D125" s="16"/>
      <c r="E125" s="72">
        <v>0</v>
      </c>
      <c r="F125" s="72">
        <v>0</v>
      </c>
      <c r="G125" s="72" t="e">
        <f t="shared" si="23"/>
        <v>#DIV/0!</v>
      </c>
      <c r="H125" s="68"/>
      <c r="I125" s="16"/>
      <c r="J125" s="16"/>
      <c r="K125" s="72">
        <v>0</v>
      </c>
      <c r="L125" s="71"/>
      <c r="M125" s="72" t="e">
        <f t="shared" si="22"/>
        <v>#DIV/0!</v>
      </c>
      <c r="N125" s="68"/>
      <c r="O125" s="68"/>
      <c r="P125" s="16"/>
      <c r="Q125" s="16"/>
      <c r="R125" s="72">
        <v>0</v>
      </c>
      <c r="S125" s="72">
        <f t="shared" si="20"/>
        <v>0</v>
      </c>
      <c r="T125" s="68"/>
      <c r="U125" s="16"/>
      <c r="V125" s="16"/>
      <c r="W125" s="16"/>
      <c r="X125" s="72">
        <v>0</v>
      </c>
      <c r="Y125" s="72">
        <f t="shared" si="21"/>
        <v>0</v>
      </c>
    </row>
    <row r="126" spans="3:25" x14ac:dyDescent="0.25">
      <c r="C126" s="71"/>
      <c r="D126" s="16"/>
      <c r="E126" s="72">
        <v>0</v>
      </c>
      <c r="F126" s="72">
        <v>0</v>
      </c>
      <c r="G126" s="72" t="e">
        <f t="shared" si="23"/>
        <v>#DIV/0!</v>
      </c>
      <c r="H126" s="68"/>
      <c r="I126" s="16"/>
      <c r="J126" s="16"/>
      <c r="K126" s="72">
        <v>0</v>
      </c>
      <c r="L126" s="71"/>
      <c r="M126" s="72" t="e">
        <f t="shared" si="22"/>
        <v>#DIV/0!</v>
      </c>
      <c r="N126" s="68"/>
      <c r="O126" s="68"/>
      <c r="P126" s="16"/>
      <c r="Q126" s="16"/>
      <c r="R126" s="72">
        <v>0</v>
      </c>
      <c r="S126" s="72">
        <f t="shared" si="20"/>
        <v>0</v>
      </c>
      <c r="T126" s="68"/>
      <c r="U126" s="16"/>
      <c r="V126" s="16"/>
      <c r="W126" s="16"/>
      <c r="X126" s="72">
        <v>0</v>
      </c>
      <c r="Y126" s="72">
        <f t="shared" si="21"/>
        <v>0</v>
      </c>
    </row>
    <row r="127" spans="3:25" x14ac:dyDescent="0.25">
      <c r="C127" s="71"/>
      <c r="D127" s="16"/>
      <c r="E127" s="72">
        <v>0</v>
      </c>
      <c r="F127" s="72">
        <v>0</v>
      </c>
      <c r="G127" s="72" t="e">
        <f t="shared" si="23"/>
        <v>#DIV/0!</v>
      </c>
      <c r="H127" s="68"/>
      <c r="I127" s="16"/>
      <c r="J127" s="16"/>
      <c r="K127" s="72">
        <v>0</v>
      </c>
      <c r="L127" s="71"/>
      <c r="M127" s="72" t="e">
        <f t="shared" si="22"/>
        <v>#DIV/0!</v>
      </c>
      <c r="N127" s="68"/>
      <c r="O127" s="68"/>
      <c r="P127" s="16"/>
      <c r="Q127" s="16"/>
      <c r="R127" s="72">
        <v>0</v>
      </c>
      <c r="S127" s="72">
        <f t="shared" si="20"/>
        <v>0</v>
      </c>
      <c r="T127" s="68"/>
      <c r="U127" s="16"/>
      <c r="V127" s="16"/>
      <c r="W127" s="16"/>
      <c r="X127" s="72">
        <v>0</v>
      </c>
      <c r="Y127" s="72">
        <f t="shared" si="21"/>
        <v>0</v>
      </c>
    </row>
    <row r="128" spans="3:25" x14ac:dyDescent="0.25">
      <c r="C128" s="71"/>
      <c r="D128" s="16"/>
      <c r="E128" s="72">
        <v>0</v>
      </c>
      <c r="F128" s="72">
        <v>0</v>
      </c>
      <c r="G128" s="72" t="e">
        <f t="shared" si="23"/>
        <v>#DIV/0!</v>
      </c>
      <c r="H128" s="68"/>
      <c r="I128" s="16"/>
      <c r="J128" s="16"/>
      <c r="K128" s="72">
        <v>0</v>
      </c>
      <c r="L128" s="71"/>
      <c r="M128" s="72" t="e">
        <f t="shared" si="22"/>
        <v>#DIV/0!</v>
      </c>
      <c r="N128" s="68"/>
      <c r="O128" s="68"/>
      <c r="P128" s="16"/>
      <c r="Q128" s="16"/>
      <c r="R128" s="72">
        <v>0</v>
      </c>
      <c r="S128" s="72">
        <f t="shared" si="20"/>
        <v>0</v>
      </c>
      <c r="T128" s="68"/>
      <c r="U128" s="16"/>
      <c r="V128" s="16"/>
      <c r="W128" s="16"/>
      <c r="X128" s="72">
        <v>0</v>
      </c>
      <c r="Y128" s="72">
        <f t="shared" si="21"/>
        <v>0</v>
      </c>
    </row>
    <row r="129" spans="3:25" x14ac:dyDescent="0.25">
      <c r="C129" s="71"/>
      <c r="D129" s="16"/>
      <c r="E129" s="72">
        <v>0</v>
      </c>
      <c r="F129" s="72">
        <v>0</v>
      </c>
      <c r="G129" s="72" t="e">
        <f t="shared" si="23"/>
        <v>#DIV/0!</v>
      </c>
      <c r="H129" s="68"/>
      <c r="I129" s="16"/>
      <c r="J129" s="16"/>
      <c r="K129" s="72">
        <v>0</v>
      </c>
      <c r="L129" s="71"/>
      <c r="M129" s="72" t="e">
        <f t="shared" si="22"/>
        <v>#DIV/0!</v>
      </c>
      <c r="N129" s="68"/>
      <c r="O129" s="68"/>
      <c r="P129" s="16"/>
      <c r="Q129" s="16"/>
      <c r="R129" s="72">
        <v>0</v>
      </c>
      <c r="S129" s="72">
        <f t="shared" si="20"/>
        <v>0</v>
      </c>
      <c r="T129" s="68"/>
      <c r="U129" s="16"/>
      <c r="V129" s="16"/>
      <c r="W129" s="16"/>
      <c r="X129" s="72">
        <v>0</v>
      </c>
      <c r="Y129" s="72">
        <f t="shared" si="21"/>
        <v>0</v>
      </c>
    </row>
    <row r="130" spans="3:25" x14ac:dyDescent="0.25">
      <c r="C130" s="71"/>
      <c r="D130" s="16"/>
      <c r="E130" s="72">
        <v>0</v>
      </c>
      <c r="F130" s="72">
        <v>0</v>
      </c>
      <c r="G130" s="72" t="e">
        <f t="shared" si="23"/>
        <v>#DIV/0!</v>
      </c>
      <c r="H130" s="68"/>
      <c r="I130" s="16"/>
      <c r="J130" s="16"/>
      <c r="K130" s="72">
        <v>0</v>
      </c>
      <c r="L130" s="71"/>
      <c r="M130" s="72" t="e">
        <f t="shared" si="22"/>
        <v>#DIV/0!</v>
      </c>
      <c r="N130" s="68"/>
      <c r="O130" s="68"/>
      <c r="P130" s="16"/>
      <c r="Q130" s="16"/>
      <c r="R130" s="72">
        <v>0</v>
      </c>
      <c r="S130" s="72">
        <f t="shared" si="20"/>
        <v>0</v>
      </c>
      <c r="T130" s="68"/>
      <c r="U130" s="16"/>
      <c r="V130" s="16"/>
      <c r="W130" s="16"/>
      <c r="X130" s="72">
        <v>0</v>
      </c>
      <c r="Y130" s="72">
        <f t="shared" si="21"/>
        <v>0</v>
      </c>
    </row>
    <row r="131" spans="3:25" x14ac:dyDescent="0.25">
      <c r="C131" s="71"/>
      <c r="D131" s="16"/>
      <c r="E131" s="72">
        <v>0</v>
      </c>
      <c r="F131" s="72">
        <v>0</v>
      </c>
      <c r="G131" s="72" t="e">
        <f t="shared" si="23"/>
        <v>#DIV/0!</v>
      </c>
      <c r="H131" s="68"/>
      <c r="I131" s="16"/>
      <c r="J131" s="16"/>
      <c r="K131" s="72">
        <v>0</v>
      </c>
      <c r="L131" s="71"/>
      <c r="M131" s="72" t="e">
        <f t="shared" si="22"/>
        <v>#DIV/0!</v>
      </c>
      <c r="N131" s="68"/>
      <c r="O131" s="68"/>
      <c r="P131" s="16"/>
      <c r="Q131" s="16"/>
      <c r="R131" s="72">
        <v>0</v>
      </c>
      <c r="S131" s="72">
        <f t="shared" si="20"/>
        <v>0</v>
      </c>
      <c r="T131" s="68"/>
      <c r="U131" s="16"/>
      <c r="V131" s="16"/>
      <c r="W131" s="16"/>
      <c r="X131" s="72">
        <v>0</v>
      </c>
      <c r="Y131" s="72">
        <f t="shared" si="21"/>
        <v>0</v>
      </c>
    </row>
    <row r="132" spans="3:25" x14ac:dyDescent="0.25">
      <c r="C132" s="71"/>
      <c r="D132" s="16"/>
      <c r="E132" s="72">
        <v>0</v>
      </c>
      <c r="F132" s="72">
        <v>0</v>
      </c>
      <c r="G132" s="72" t="e">
        <f t="shared" si="23"/>
        <v>#DIV/0!</v>
      </c>
      <c r="H132" s="68"/>
      <c r="I132" s="16"/>
      <c r="J132" s="16"/>
      <c r="K132" s="72">
        <v>0</v>
      </c>
      <c r="L132" s="71"/>
      <c r="M132" s="72" t="e">
        <f t="shared" si="22"/>
        <v>#DIV/0!</v>
      </c>
      <c r="N132" s="68"/>
      <c r="O132" s="68"/>
      <c r="P132" s="16"/>
      <c r="Q132" s="16"/>
      <c r="R132" s="72">
        <v>0</v>
      </c>
      <c r="S132" s="72">
        <f t="shared" si="20"/>
        <v>0</v>
      </c>
      <c r="T132" s="68"/>
      <c r="U132" s="16"/>
      <c r="V132" s="16"/>
      <c r="W132" s="16"/>
      <c r="X132" s="72">
        <v>0</v>
      </c>
      <c r="Y132" s="72">
        <f t="shared" si="21"/>
        <v>0</v>
      </c>
    </row>
    <row r="133" spans="3:25" x14ac:dyDescent="0.25">
      <c r="C133" s="71"/>
      <c r="D133" s="16"/>
      <c r="E133" s="72">
        <v>0</v>
      </c>
      <c r="F133" s="72">
        <v>0</v>
      </c>
      <c r="G133" s="72" t="e">
        <f t="shared" si="23"/>
        <v>#DIV/0!</v>
      </c>
      <c r="H133" s="68"/>
      <c r="I133" s="16"/>
      <c r="J133" s="16"/>
      <c r="K133" s="72">
        <v>0</v>
      </c>
      <c r="L133" s="71"/>
      <c r="M133" s="72" t="e">
        <f t="shared" si="22"/>
        <v>#DIV/0!</v>
      </c>
      <c r="N133" s="68"/>
      <c r="O133" s="68"/>
      <c r="P133" s="16"/>
      <c r="Q133" s="16"/>
      <c r="R133" s="72">
        <v>0</v>
      </c>
      <c r="S133" s="72">
        <f t="shared" si="20"/>
        <v>0</v>
      </c>
      <c r="T133" s="68"/>
      <c r="U133" s="16"/>
      <c r="V133" s="16"/>
      <c r="W133" s="16"/>
      <c r="X133" s="72">
        <v>0</v>
      </c>
      <c r="Y133" s="72">
        <f t="shared" si="21"/>
        <v>0</v>
      </c>
    </row>
    <row r="134" spans="3:25" x14ac:dyDescent="0.25">
      <c r="C134" s="71"/>
      <c r="D134" s="16"/>
      <c r="E134" s="72">
        <f t="shared" ref="E134:E139" si="24">SUM(X134:Z134)</f>
        <v>0</v>
      </c>
      <c r="F134" s="72">
        <v>0</v>
      </c>
      <c r="G134" s="72" t="e">
        <f t="shared" si="23"/>
        <v>#DIV/0!</v>
      </c>
      <c r="H134" s="68"/>
      <c r="I134" s="16"/>
      <c r="J134" s="16"/>
      <c r="K134" s="72">
        <v>0</v>
      </c>
      <c r="L134" s="71"/>
      <c r="M134" s="72" t="e">
        <f t="shared" si="22"/>
        <v>#DIV/0!</v>
      </c>
      <c r="N134" s="68"/>
      <c r="O134" s="68"/>
      <c r="P134" s="16"/>
      <c r="Q134" s="16"/>
      <c r="R134" s="72">
        <v>0</v>
      </c>
      <c r="S134" s="72">
        <f t="shared" si="20"/>
        <v>0</v>
      </c>
      <c r="T134" s="68"/>
      <c r="U134" s="16"/>
      <c r="V134" s="16"/>
      <c r="W134" s="16"/>
      <c r="X134" s="72">
        <v>0</v>
      </c>
      <c r="Y134" s="72">
        <f t="shared" si="21"/>
        <v>0</v>
      </c>
    </row>
    <row r="135" spans="3:25" x14ac:dyDescent="0.25">
      <c r="C135" s="71"/>
      <c r="D135" s="16"/>
      <c r="E135" s="72">
        <f t="shared" si="24"/>
        <v>0</v>
      </c>
      <c r="F135" s="72">
        <v>0</v>
      </c>
      <c r="G135" s="72" t="e">
        <f t="shared" si="23"/>
        <v>#DIV/0!</v>
      </c>
      <c r="H135" s="68"/>
      <c r="I135" s="16"/>
      <c r="J135" s="16"/>
      <c r="K135" s="72">
        <v>0</v>
      </c>
      <c r="L135" s="71"/>
      <c r="M135" s="72" t="e">
        <f t="shared" si="22"/>
        <v>#DIV/0!</v>
      </c>
      <c r="N135" s="68"/>
      <c r="O135" s="68"/>
      <c r="P135" s="16"/>
      <c r="Q135" s="16"/>
      <c r="R135" s="72">
        <v>0</v>
      </c>
      <c r="S135" s="72">
        <f t="shared" si="20"/>
        <v>0</v>
      </c>
      <c r="T135" s="68"/>
      <c r="U135" s="16"/>
      <c r="V135" s="16"/>
      <c r="W135" s="16"/>
      <c r="X135" s="72">
        <v>0</v>
      </c>
      <c r="Y135" s="72">
        <f t="shared" si="21"/>
        <v>0</v>
      </c>
    </row>
    <row r="136" spans="3:25" x14ac:dyDescent="0.25">
      <c r="C136" s="71"/>
      <c r="D136" s="16"/>
      <c r="E136" s="72">
        <f t="shared" si="24"/>
        <v>0</v>
      </c>
      <c r="F136" s="72">
        <v>0</v>
      </c>
      <c r="G136" s="72" t="e">
        <f t="shared" si="23"/>
        <v>#DIV/0!</v>
      </c>
      <c r="H136" s="68"/>
      <c r="I136" s="16"/>
      <c r="J136" s="16"/>
      <c r="K136" s="72">
        <v>0</v>
      </c>
      <c r="L136" s="71"/>
      <c r="M136" s="72" t="e">
        <f t="shared" si="22"/>
        <v>#DIV/0!</v>
      </c>
      <c r="N136" s="68"/>
      <c r="O136" s="68"/>
      <c r="P136" s="16"/>
      <c r="Q136" s="16"/>
      <c r="R136" s="72">
        <v>0</v>
      </c>
      <c r="S136" s="72">
        <f t="shared" si="20"/>
        <v>0</v>
      </c>
      <c r="T136" s="68"/>
      <c r="U136" s="16"/>
      <c r="V136" s="16"/>
      <c r="W136" s="16"/>
      <c r="X136" s="72">
        <v>0</v>
      </c>
      <c r="Y136" s="72">
        <f t="shared" si="21"/>
        <v>0</v>
      </c>
    </row>
    <row r="137" spans="3:25" x14ac:dyDescent="0.25">
      <c r="C137" s="71"/>
      <c r="D137" s="16"/>
      <c r="E137" s="72">
        <f t="shared" si="24"/>
        <v>0</v>
      </c>
      <c r="F137" s="72">
        <v>0</v>
      </c>
      <c r="G137" s="72" t="e">
        <f t="shared" si="23"/>
        <v>#DIV/0!</v>
      </c>
      <c r="H137" s="68"/>
      <c r="I137" s="16"/>
      <c r="J137" s="16"/>
      <c r="K137" s="72">
        <v>0</v>
      </c>
      <c r="L137" s="71"/>
      <c r="M137" s="72" t="e">
        <f t="shared" si="22"/>
        <v>#DIV/0!</v>
      </c>
      <c r="N137" s="68"/>
      <c r="O137" s="68"/>
      <c r="P137" s="16"/>
      <c r="Q137" s="16"/>
      <c r="R137" s="72">
        <v>0</v>
      </c>
      <c r="S137" s="72">
        <f t="shared" si="20"/>
        <v>0</v>
      </c>
      <c r="T137" s="68"/>
      <c r="U137" s="16"/>
      <c r="V137" s="16"/>
      <c r="W137" s="16"/>
      <c r="X137" s="72">
        <v>0</v>
      </c>
      <c r="Y137" s="72">
        <f t="shared" si="21"/>
        <v>0</v>
      </c>
    </row>
    <row r="138" spans="3:25" x14ac:dyDescent="0.25">
      <c r="C138" s="71"/>
      <c r="D138" s="16"/>
      <c r="E138" s="72">
        <f t="shared" si="24"/>
        <v>0</v>
      </c>
      <c r="F138" s="72">
        <v>0</v>
      </c>
      <c r="G138" s="72" t="e">
        <f t="shared" si="23"/>
        <v>#DIV/0!</v>
      </c>
      <c r="H138" s="68"/>
      <c r="I138" s="16"/>
      <c r="J138" s="16"/>
      <c r="K138" s="72">
        <v>0</v>
      </c>
      <c r="L138" s="71"/>
      <c r="M138" s="72" t="e">
        <f t="shared" si="22"/>
        <v>#DIV/0!</v>
      </c>
      <c r="N138" s="68"/>
      <c r="O138" s="68"/>
      <c r="P138" s="16"/>
      <c r="Q138" s="16"/>
      <c r="R138" s="72">
        <v>0</v>
      </c>
      <c r="S138" s="72">
        <f t="shared" si="20"/>
        <v>0</v>
      </c>
      <c r="T138" s="68"/>
      <c r="U138" s="16"/>
      <c r="V138" s="16"/>
      <c r="W138" s="16"/>
      <c r="X138" s="72">
        <v>0</v>
      </c>
      <c r="Y138" s="72">
        <f t="shared" si="21"/>
        <v>0</v>
      </c>
    </row>
    <row r="139" spans="3:25" x14ac:dyDescent="0.25">
      <c r="C139" s="71"/>
      <c r="D139" s="16"/>
      <c r="E139" s="72">
        <f t="shared" si="24"/>
        <v>0</v>
      </c>
      <c r="F139" s="72">
        <v>0</v>
      </c>
      <c r="G139" s="72" t="e">
        <f t="shared" si="23"/>
        <v>#DIV/0!</v>
      </c>
      <c r="H139" s="68"/>
      <c r="I139" s="16"/>
      <c r="J139" s="16"/>
      <c r="K139" s="72">
        <v>0</v>
      </c>
      <c r="L139" s="71"/>
      <c r="M139" s="72" t="e">
        <f t="shared" si="22"/>
        <v>#DIV/0!</v>
      </c>
      <c r="N139" s="68"/>
      <c r="O139" s="68"/>
      <c r="P139" s="16"/>
      <c r="Q139" s="16"/>
      <c r="R139" s="72">
        <v>0</v>
      </c>
      <c r="S139" s="72">
        <f t="shared" si="20"/>
        <v>0</v>
      </c>
      <c r="T139" s="68"/>
      <c r="U139" s="16"/>
      <c r="V139" s="16"/>
      <c r="W139" s="16"/>
      <c r="X139" s="72">
        <v>0</v>
      </c>
      <c r="Y139" s="72">
        <f t="shared" si="21"/>
        <v>0</v>
      </c>
    </row>
    <row r="140" spans="3:25" x14ac:dyDescent="0.25">
      <c r="C140" s="16" t="s">
        <v>59</v>
      </c>
      <c r="D140" s="16"/>
      <c r="E140" s="64">
        <f>SUM(E122:E139)</f>
        <v>0</v>
      </c>
      <c r="F140" s="16"/>
      <c r="G140" s="16"/>
      <c r="H140" s="68"/>
      <c r="I140" s="16" t="s">
        <v>59</v>
      </c>
      <c r="J140" s="16"/>
      <c r="K140" s="64">
        <f>SUM(K122:K139)</f>
        <v>0</v>
      </c>
      <c r="L140" s="71"/>
      <c r="M140" s="16"/>
      <c r="N140" s="68"/>
      <c r="O140" s="68"/>
      <c r="P140" s="92" t="s">
        <v>27</v>
      </c>
      <c r="Q140" s="93"/>
      <c r="R140" s="94"/>
      <c r="S140" s="64">
        <f>SUM(S122:S139)</f>
        <v>0</v>
      </c>
      <c r="T140" s="68"/>
      <c r="U140" s="92" t="s">
        <v>27</v>
      </c>
      <c r="V140" s="93"/>
      <c r="W140" s="93"/>
      <c r="X140" s="94"/>
      <c r="Y140" s="64">
        <f>SUM(Y122:Y139)</f>
        <v>0</v>
      </c>
    </row>
    <row r="141" spans="3:25" x14ac:dyDescent="0.25"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5" spans="3:25" x14ac:dyDescent="0.25">
      <c r="C145" t="s">
        <v>197</v>
      </c>
    </row>
    <row r="146" spans="3:25" x14ac:dyDescent="0.25">
      <c r="C146" s="43" t="s">
        <v>76</v>
      </c>
      <c r="D146" s="65"/>
      <c r="P146" s="18" t="str">
        <f>C145</f>
        <v>FECHA: SABADO</v>
      </c>
      <c r="U146" s="18" t="str">
        <f>P146</f>
        <v>FECHA: SABADO</v>
      </c>
    </row>
    <row r="147" spans="3:25" x14ac:dyDescent="0.25">
      <c r="C147" s="74" t="s">
        <v>7</v>
      </c>
      <c r="D147" s="75"/>
      <c r="E147" s="75"/>
      <c r="F147" s="75"/>
      <c r="G147" s="76"/>
      <c r="I147" s="77" t="s">
        <v>8</v>
      </c>
      <c r="J147" s="78"/>
      <c r="K147" s="78"/>
      <c r="L147" s="78"/>
      <c r="M147" s="79"/>
      <c r="P147" s="74" t="s">
        <v>9</v>
      </c>
      <c r="Q147" s="75"/>
      <c r="R147" s="75"/>
      <c r="S147" s="76"/>
      <c r="U147" s="80" t="s">
        <v>77</v>
      </c>
      <c r="V147" s="81"/>
      <c r="W147" s="81"/>
      <c r="X147" s="81"/>
      <c r="Y147" s="82"/>
    </row>
    <row r="148" spans="3:25" x14ac:dyDescent="0.25">
      <c r="C148" s="18" t="s">
        <v>19</v>
      </c>
      <c r="D148" s="18" t="s">
        <v>20</v>
      </c>
      <c r="E148" s="18" t="s">
        <v>21</v>
      </c>
      <c r="F148" s="18" t="s">
        <v>22</v>
      </c>
      <c r="G148" s="18" t="s">
        <v>23</v>
      </c>
      <c r="I148" s="18" t="s">
        <v>19</v>
      </c>
      <c r="J148" s="18" t="s">
        <v>20</v>
      </c>
      <c r="K148" s="18" t="s">
        <v>21</v>
      </c>
      <c r="L148" s="18" t="s">
        <v>22</v>
      </c>
      <c r="M148" s="18" t="s">
        <v>23</v>
      </c>
      <c r="P148" s="18" t="s">
        <v>24</v>
      </c>
      <c r="Q148" s="18" t="s">
        <v>25</v>
      </c>
      <c r="R148" s="18" t="s">
        <v>26</v>
      </c>
      <c r="S148" s="18" t="s">
        <v>27</v>
      </c>
      <c r="U148" s="18" t="s">
        <v>24</v>
      </c>
      <c r="V148" s="18" t="s">
        <v>25</v>
      </c>
      <c r="W148" s="18"/>
      <c r="X148" s="18" t="s">
        <v>26</v>
      </c>
      <c r="Y148" s="18" t="s">
        <v>27</v>
      </c>
    </row>
    <row r="149" spans="3:25" x14ac:dyDescent="0.25">
      <c r="C149" s="26"/>
      <c r="D149" s="18"/>
      <c r="E149" s="27">
        <v>0</v>
      </c>
      <c r="F149" s="27">
        <v>0</v>
      </c>
      <c r="G149" s="27" t="e">
        <f>E149/F149</f>
        <v>#DIV/0!</v>
      </c>
      <c r="I149" s="18">
        <v>1</v>
      </c>
      <c r="J149" s="18" t="s">
        <v>198</v>
      </c>
      <c r="K149" s="27">
        <v>14</v>
      </c>
      <c r="L149" s="28"/>
      <c r="M149" s="27" t="e">
        <f>K149/L149</f>
        <v>#DIV/0!</v>
      </c>
      <c r="P149" s="18">
        <v>3</v>
      </c>
      <c r="Q149" s="18" t="s">
        <v>96</v>
      </c>
      <c r="R149" s="27">
        <v>14</v>
      </c>
      <c r="S149" s="27">
        <f t="shared" ref="S149:S166" si="25">P149*R149</f>
        <v>42</v>
      </c>
      <c r="U149" s="18">
        <v>1</v>
      </c>
      <c r="V149" s="18" t="s">
        <v>198</v>
      </c>
      <c r="W149" s="18"/>
      <c r="X149" s="27">
        <v>14</v>
      </c>
      <c r="Y149" s="27">
        <f t="shared" ref="Y149:Y166" si="26">U149*X149</f>
        <v>14</v>
      </c>
    </row>
    <row r="150" spans="3:25" x14ac:dyDescent="0.25">
      <c r="C150" s="26"/>
      <c r="D150" s="18"/>
      <c r="E150" s="27">
        <v>0</v>
      </c>
      <c r="F150" s="27">
        <v>0</v>
      </c>
      <c r="G150" s="27" t="e">
        <f>E150/F150</f>
        <v>#DIV/0!</v>
      </c>
      <c r="I150" s="18">
        <v>1</v>
      </c>
      <c r="J150" s="18" t="s">
        <v>85</v>
      </c>
      <c r="K150" s="27">
        <v>15</v>
      </c>
      <c r="L150" s="28"/>
      <c r="M150" s="27" t="e">
        <f t="shared" ref="M150:M166" si="27">K150/L150</f>
        <v>#DIV/0!</v>
      </c>
      <c r="P150" s="18">
        <v>1</v>
      </c>
      <c r="Q150" s="18" t="s">
        <v>94</v>
      </c>
      <c r="R150" s="27">
        <v>16</v>
      </c>
      <c r="S150" s="27">
        <f t="shared" si="25"/>
        <v>16</v>
      </c>
      <c r="U150" s="18">
        <v>1</v>
      </c>
      <c r="V150" s="18" t="s">
        <v>85</v>
      </c>
      <c r="W150" s="18"/>
      <c r="X150" s="27">
        <v>17</v>
      </c>
      <c r="Y150" s="27">
        <f t="shared" si="26"/>
        <v>17</v>
      </c>
    </row>
    <row r="151" spans="3:25" x14ac:dyDescent="0.25">
      <c r="C151" s="26"/>
      <c r="D151" s="18"/>
      <c r="E151" s="27">
        <v>0</v>
      </c>
      <c r="F151" s="27">
        <v>0</v>
      </c>
      <c r="G151" s="27" t="e">
        <f t="shared" ref="G151:G166" si="28">E151/F151</f>
        <v>#DIV/0!</v>
      </c>
      <c r="I151" s="18">
        <v>1</v>
      </c>
      <c r="J151" s="18" t="s">
        <v>83</v>
      </c>
      <c r="K151" s="27">
        <v>14</v>
      </c>
      <c r="L151" s="26"/>
      <c r="M151" s="27" t="e">
        <f t="shared" si="27"/>
        <v>#DIV/0!</v>
      </c>
      <c r="P151" s="18">
        <v>1</v>
      </c>
      <c r="Q151" s="18" t="s">
        <v>170</v>
      </c>
      <c r="R151" s="27">
        <v>15</v>
      </c>
      <c r="S151" s="27">
        <f t="shared" si="25"/>
        <v>15</v>
      </c>
      <c r="U151" s="18">
        <v>1</v>
      </c>
      <c r="V151" s="18" t="s">
        <v>83</v>
      </c>
      <c r="W151" s="18"/>
      <c r="X151" s="27">
        <v>14</v>
      </c>
      <c r="Y151" s="27">
        <f t="shared" si="26"/>
        <v>14</v>
      </c>
    </row>
    <row r="152" spans="3:25" x14ac:dyDescent="0.25">
      <c r="C152" s="26"/>
      <c r="D152" s="18"/>
      <c r="E152" s="27">
        <v>0</v>
      </c>
      <c r="F152" s="27">
        <v>0</v>
      </c>
      <c r="G152" s="27" t="e">
        <f t="shared" si="28"/>
        <v>#DIV/0!</v>
      </c>
      <c r="I152" s="18">
        <v>1</v>
      </c>
      <c r="J152" s="18" t="s">
        <v>121</v>
      </c>
      <c r="K152" s="27">
        <v>17</v>
      </c>
      <c r="L152" s="26"/>
      <c r="M152" s="27" t="e">
        <f t="shared" si="27"/>
        <v>#DIV/0!</v>
      </c>
      <c r="P152" s="18">
        <v>1</v>
      </c>
      <c r="Q152" s="18" t="s">
        <v>199</v>
      </c>
      <c r="R152" s="27">
        <v>14</v>
      </c>
      <c r="S152" s="27">
        <f t="shared" si="25"/>
        <v>14</v>
      </c>
      <c r="U152" s="18">
        <v>1</v>
      </c>
      <c r="V152" s="18" t="s">
        <v>121</v>
      </c>
      <c r="W152" s="18"/>
      <c r="X152" s="27">
        <v>17</v>
      </c>
      <c r="Y152" s="27">
        <f t="shared" si="26"/>
        <v>17</v>
      </c>
    </row>
    <row r="153" spans="3:25" x14ac:dyDescent="0.25">
      <c r="C153" s="26"/>
      <c r="D153" s="18"/>
      <c r="E153" s="27">
        <v>0</v>
      </c>
      <c r="F153" s="27">
        <v>0</v>
      </c>
      <c r="G153" s="27" t="e">
        <f t="shared" si="28"/>
        <v>#DIV/0!</v>
      </c>
      <c r="I153" s="18">
        <v>1</v>
      </c>
      <c r="J153" s="18" t="s">
        <v>200</v>
      </c>
      <c r="K153" s="27">
        <v>17</v>
      </c>
      <c r="L153" s="26"/>
      <c r="M153" s="27" t="e">
        <f t="shared" si="27"/>
        <v>#DIV/0!</v>
      </c>
      <c r="P153" s="18">
        <v>1</v>
      </c>
      <c r="Q153" s="18" t="s">
        <v>201</v>
      </c>
      <c r="R153" s="27">
        <v>18</v>
      </c>
      <c r="S153" s="27">
        <f t="shared" si="25"/>
        <v>18</v>
      </c>
      <c r="U153" s="18">
        <v>1</v>
      </c>
      <c r="V153" s="18" t="s">
        <v>200</v>
      </c>
      <c r="W153" s="18"/>
      <c r="X153" s="27">
        <v>15</v>
      </c>
      <c r="Y153" s="27">
        <f t="shared" si="26"/>
        <v>15</v>
      </c>
    </row>
    <row r="154" spans="3:25" x14ac:dyDescent="0.25">
      <c r="C154" s="26"/>
      <c r="D154" s="18"/>
      <c r="E154" s="27">
        <v>0</v>
      </c>
      <c r="F154" s="27">
        <v>0</v>
      </c>
      <c r="G154" s="27" t="e">
        <f t="shared" si="28"/>
        <v>#DIV/0!</v>
      </c>
      <c r="I154" s="18"/>
      <c r="J154" s="18"/>
      <c r="K154" s="27">
        <v>0</v>
      </c>
      <c r="L154" s="26"/>
      <c r="M154" s="27" t="e">
        <f t="shared" si="27"/>
        <v>#DIV/0!</v>
      </c>
      <c r="P154" s="18"/>
      <c r="Q154" s="18"/>
      <c r="R154" s="27">
        <v>0</v>
      </c>
      <c r="S154" s="27">
        <f t="shared" si="25"/>
        <v>0</v>
      </c>
      <c r="U154" s="18"/>
      <c r="V154" s="18"/>
      <c r="W154" s="18"/>
      <c r="X154" s="27">
        <v>0</v>
      </c>
      <c r="Y154" s="27">
        <f t="shared" si="26"/>
        <v>0</v>
      </c>
    </row>
    <row r="155" spans="3:25" x14ac:dyDescent="0.25">
      <c r="C155" s="26"/>
      <c r="D155" s="18"/>
      <c r="E155" s="27">
        <v>0</v>
      </c>
      <c r="F155" s="27">
        <v>0</v>
      </c>
      <c r="G155" s="27" t="e">
        <f t="shared" si="28"/>
        <v>#DIV/0!</v>
      </c>
      <c r="I155" s="18"/>
      <c r="J155" s="18"/>
      <c r="K155" s="27">
        <v>0</v>
      </c>
      <c r="L155" s="26"/>
      <c r="M155" s="27" t="e">
        <f t="shared" si="27"/>
        <v>#DIV/0!</v>
      </c>
      <c r="P155" s="18"/>
      <c r="Q155" s="18"/>
      <c r="R155" s="27">
        <v>0</v>
      </c>
      <c r="S155" s="27">
        <f t="shared" si="25"/>
        <v>0</v>
      </c>
      <c r="U155" s="18"/>
      <c r="V155" s="18"/>
      <c r="W155" s="18"/>
      <c r="X155" s="27">
        <v>0</v>
      </c>
      <c r="Y155" s="27">
        <f t="shared" si="26"/>
        <v>0</v>
      </c>
    </row>
    <row r="156" spans="3:25" x14ac:dyDescent="0.25">
      <c r="C156" s="26"/>
      <c r="D156" s="18"/>
      <c r="E156" s="27">
        <v>0</v>
      </c>
      <c r="F156" s="27">
        <v>0</v>
      </c>
      <c r="G156" s="27" t="e">
        <f t="shared" si="28"/>
        <v>#DIV/0!</v>
      </c>
      <c r="I156" s="18"/>
      <c r="J156" s="18"/>
      <c r="K156" s="27">
        <v>0</v>
      </c>
      <c r="L156" s="26"/>
      <c r="M156" s="27" t="e">
        <f t="shared" si="27"/>
        <v>#DIV/0!</v>
      </c>
      <c r="P156" s="18"/>
      <c r="Q156" s="18"/>
      <c r="R156" s="27">
        <v>0</v>
      </c>
      <c r="S156" s="27">
        <f t="shared" si="25"/>
        <v>0</v>
      </c>
      <c r="U156" s="18"/>
      <c r="V156" s="18"/>
      <c r="W156" s="18"/>
      <c r="X156" s="27">
        <v>0</v>
      </c>
      <c r="Y156" s="27">
        <f t="shared" si="26"/>
        <v>0</v>
      </c>
    </row>
    <row r="157" spans="3:25" x14ac:dyDescent="0.25">
      <c r="C157" s="26"/>
      <c r="D157" s="18"/>
      <c r="E157" s="27">
        <v>0</v>
      </c>
      <c r="F157" s="27">
        <v>0</v>
      </c>
      <c r="G157" s="27" t="e">
        <f t="shared" si="28"/>
        <v>#DIV/0!</v>
      </c>
      <c r="I157" s="18"/>
      <c r="J157" s="18"/>
      <c r="K157" s="27">
        <v>0</v>
      </c>
      <c r="L157" s="26"/>
      <c r="M157" s="27" t="e">
        <f t="shared" si="27"/>
        <v>#DIV/0!</v>
      </c>
      <c r="P157" s="18"/>
      <c r="Q157" s="18"/>
      <c r="R157" s="27">
        <v>0</v>
      </c>
      <c r="S157" s="27">
        <f t="shared" si="25"/>
        <v>0</v>
      </c>
      <c r="U157" s="18"/>
      <c r="V157" s="18"/>
      <c r="W157" s="18"/>
      <c r="X157" s="27">
        <v>0</v>
      </c>
      <c r="Y157" s="27">
        <f t="shared" si="26"/>
        <v>0</v>
      </c>
    </row>
    <row r="158" spans="3:25" x14ac:dyDescent="0.25">
      <c r="C158" s="26"/>
      <c r="D158" s="18"/>
      <c r="E158" s="27">
        <v>0</v>
      </c>
      <c r="F158" s="27">
        <v>0</v>
      </c>
      <c r="G158" s="27" t="e">
        <f t="shared" si="28"/>
        <v>#DIV/0!</v>
      </c>
      <c r="I158" s="18"/>
      <c r="J158" s="18"/>
      <c r="K158" s="27">
        <v>0</v>
      </c>
      <c r="L158" s="26"/>
      <c r="M158" s="27" t="e">
        <f t="shared" si="27"/>
        <v>#DIV/0!</v>
      </c>
      <c r="P158" s="18"/>
      <c r="Q158" s="18"/>
      <c r="R158" s="27">
        <v>0</v>
      </c>
      <c r="S158" s="27">
        <f t="shared" si="25"/>
        <v>0</v>
      </c>
      <c r="U158" s="18"/>
      <c r="V158" s="18"/>
      <c r="W158" s="18"/>
      <c r="X158" s="27">
        <v>0</v>
      </c>
      <c r="Y158" s="27">
        <f t="shared" si="26"/>
        <v>0</v>
      </c>
    </row>
    <row r="159" spans="3:25" x14ac:dyDescent="0.25">
      <c r="C159" s="26"/>
      <c r="D159" s="18"/>
      <c r="E159" s="27">
        <v>0</v>
      </c>
      <c r="F159" s="27">
        <v>0</v>
      </c>
      <c r="G159" s="27" t="e">
        <f t="shared" si="28"/>
        <v>#DIV/0!</v>
      </c>
      <c r="I159" s="18"/>
      <c r="J159" s="18"/>
      <c r="K159" s="27">
        <v>0</v>
      </c>
      <c r="L159" s="26"/>
      <c r="M159" s="27" t="e">
        <f t="shared" si="27"/>
        <v>#DIV/0!</v>
      </c>
      <c r="P159" s="18"/>
      <c r="Q159" s="18"/>
      <c r="R159" s="27">
        <v>0</v>
      </c>
      <c r="S159" s="27">
        <f t="shared" si="25"/>
        <v>0</v>
      </c>
      <c r="U159" s="18"/>
      <c r="V159" s="18"/>
      <c r="W159" s="18"/>
      <c r="X159" s="27">
        <v>0</v>
      </c>
      <c r="Y159" s="27">
        <f t="shared" si="26"/>
        <v>0</v>
      </c>
    </row>
    <row r="160" spans="3:25" x14ac:dyDescent="0.25">
      <c r="C160" s="26"/>
      <c r="D160" s="18"/>
      <c r="E160" s="27">
        <v>0</v>
      </c>
      <c r="F160" s="27">
        <v>0</v>
      </c>
      <c r="G160" s="27" t="e">
        <f t="shared" si="28"/>
        <v>#DIV/0!</v>
      </c>
      <c r="I160" s="18"/>
      <c r="J160" s="18"/>
      <c r="K160" s="27">
        <v>0</v>
      </c>
      <c r="L160" s="26"/>
      <c r="M160" s="27" t="e">
        <f t="shared" si="27"/>
        <v>#DIV/0!</v>
      </c>
      <c r="P160" s="18"/>
      <c r="Q160" s="18"/>
      <c r="R160" s="27">
        <v>0</v>
      </c>
      <c r="S160" s="27">
        <f t="shared" si="25"/>
        <v>0</v>
      </c>
      <c r="U160" s="18"/>
      <c r="V160" s="18"/>
      <c r="W160" s="18"/>
      <c r="X160" s="27">
        <v>0</v>
      </c>
      <c r="Y160" s="27">
        <f t="shared" si="26"/>
        <v>0</v>
      </c>
    </row>
    <row r="161" spans="3:25" x14ac:dyDescent="0.25">
      <c r="C161" s="26"/>
      <c r="D161" s="18"/>
      <c r="E161" s="27">
        <f t="shared" ref="E161:E166" si="29">SUM(X161:Z161)</f>
        <v>0</v>
      </c>
      <c r="F161" s="27">
        <v>0</v>
      </c>
      <c r="G161" s="27" t="e">
        <f t="shared" si="28"/>
        <v>#DIV/0!</v>
      </c>
      <c r="I161" s="18"/>
      <c r="J161" s="18"/>
      <c r="K161" s="27">
        <v>0</v>
      </c>
      <c r="L161" s="26"/>
      <c r="M161" s="27" t="e">
        <f t="shared" si="27"/>
        <v>#DIV/0!</v>
      </c>
      <c r="P161" s="18"/>
      <c r="Q161" s="18"/>
      <c r="R161" s="27">
        <v>0</v>
      </c>
      <c r="S161" s="27">
        <f t="shared" si="25"/>
        <v>0</v>
      </c>
      <c r="U161" s="18"/>
      <c r="V161" s="18"/>
      <c r="W161" s="18"/>
      <c r="X161" s="27">
        <v>0</v>
      </c>
      <c r="Y161" s="27">
        <f t="shared" si="26"/>
        <v>0</v>
      </c>
    </row>
    <row r="162" spans="3:25" x14ac:dyDescent="0.25">
      <c r="C162" s="26"/>
      <c r="D162" s="18"/>
      <c r="E162" s="27">
        <f t="shared" si="29"/>
        <v>0</v>
      </c>
      <c r="F162" s="27">
        <v>0</v>
      </c>
      <c r="G162" s="27" t="e">
        <f t="shared" si="28"/>
        <v>#DIV/0!</v>
      </c>
      <c r="I162" s="18"/>
      <c r="J162" s="18"/>
      <c r="K162" s="27">
        <v>0</v>
      </c>
      <c r="L162" s="26"/>
      <c r="M162" s="27" t="e">
        <f t="shared" si="27"/>
        <v>#DIV/0!</v>
      </c>
      <c r="P162" s="18"/>
      <c r="Q162" s="18"/>
      <c r="R162" s="27">
        <v>0</v>
      </c>
      <c r="S162" s="27">
        <f t="shared" si="25"/>
        <v>0</v>
      </c>
      <c r="U162" s="18"/>
      <c r="V162" s="18"/>
      <c r="W162" s="18"/>
      <c r="X162" s="27">
        <v>0</v>
      </c>
      <c r="Y162" s="27">
        <f t="shared" si="26"/>
        <v>0</v>
      </c>
    </row>
    <row r="163" spans="3:25" x14ac:dyDescent="0.25">
      <c r="C163" s="26"/>
      <c r="D163" s="18"/>
      <c r="E163" s="27">
        <f t="shared" si="29"/>
        <v>0</v>
      </c>
      <c r="F163" s="27">
        <v>0</v>
      </c>
      <c r="G163" s="27" t="e">
        <f t="shared" si="28"/>
        <v>#DIV/0!</v>
      </c>
      <c r="I163" s="18"/>
      <c r="J163" s="18"/>
      <c r="K163" s="27">
        <v>0</v>
      </c>
      <c r="L163" s="26"/>
      <c r="M163" s="27" t="e">
        <f t="shared" si="27"/>
        <v>#DIV/0!</v>
      </c>
      <c r="P163" s="18"/>
      <c r="Q163" s="18"/>
      <c r="R163" s="27">
        <v>0</v>
      </c>
      <c r="S163" s="27">
        <f t="shared" si="25"/>
        <v>0</v>
      </c>
      <c r="U163" s="18"/>
      <c r="V163" s="18"/>
      <c r="W163" s="18"/>
      <c r="X163" s="27">
        <v>0</v>
      </c>
      <c r="Y163" s="27">
        <f t="shared" si="26"/>
        <v>0</v>
      </c>
    </row>
    <row r="164" spans="3:25" x14ac:dyDescent="0.25">
      <c r="C164" s="26"/>
      <c r="D164" s="18"/>
      <c r="E164" s="27">
        <f t="shared" si="29"/>
        <v>0</v>
      </c>
      <c r="F164" s="27">
        <v>0</v>
      </c>
      <c r="G164" s="27" t="e">
        <f t="shared" si="28"/>
        <v>#DIV/0!</v>
      </c>
      <c r="I164" s="18"/>
      <c r="J164" s="18"/>
      <c r="K164" s="27">
        <v>0</v>
      </c>
      <c r="L164" s="26"/>
      <c r="M164" s="27" t="e">
        <f t="shared" si="27"/>
        <v>#DIV/0!</v>
      </c>
      <c r="P164" s="18"/>
      <c r="Q164" s="18"/>
      <c r="R164" s="27">
        <v>0</v>
      </c>
      <c r="S164" s="27">
        <f t="shared" si="25"/>
        <v>0</v>
      </c>
      <c r="U164" s="18"/>
      <c r="V164" s="18"/>
      <c r="W164" s="18"/>
      <c r="X164" s="27">
        <v>0</v>
      </c>
      <c r="Y164" s="27">
        <f t="shared" si="26"/>
        <v>0</v>
      </c>
    </row>
    <row r="165" spans="3:25" x14ac:dyDescent="0.25">
      <c r="C165" s="26"/>
      <c r="D165" s="18"/>
      <c r="E165" s="27">
        <f t="shared" si="29"/>
        <v>0</v>
      </c>
      <c r="F165" s="27">
        <v>0</v>
      </c>
      <c r="G165" s="27" t="e">
        <f t="shared" si="28"/>
        <v>#DIV/0!</v>
      </c>
      <c r="I165" s="18"/>
      <c r="J165" s="18"/>
      <c r="K165" s="27">
        <v>0</v>
      </c>
      <c r="L165" s="26"/>
      <c r="M165" s="27" t="e">
        <f t="shared" si="27"/>
        <v>#DIV/0!</v>
      </c>
      <c r="P165" s="18"/>
      <c r="Q165" s="18"/>
      <c r="R165" s="27">
        <v>0</v>
      </c>
      <c r="S165" s="27">
        <f t="shared" si="25"/>
        <v>0</v>
      </c>
      <c r="U165" s="18"/>
      <c r="V165" s="18"/>
      <c r="W165" s="18"/>
      <c r="X165" s="27">
        <v>0</v>
      </c>
      <c r="Y165" s="27">
        <f t="shared" si="26"/>
        <v>0</v>
      </c>
    </row>
    <row r="166" spans="3:25" x14ac:dyDescent="0.25">
      <c r="C166" s="26"/>
      <c r="D166" s="18"/>
      <c r="E166" s="27">
        <f t="shared" si="29"/>
        <v>0</v>
      </c>
      <c r="F166" s="27">
        <v>0</v>
      </c>
      <c r="G166" s="27" t="e">
        <f t="shared" si="28"/>
        <v>#DIV/0!</v>
      </c>
      <c r="I166" s="18"/>
      <c r="J166" s="18"/>
      <c r="K166" s="27">
        <v>0</v>
      </c>
      <c r="L166" s="26"/>
      <c r="M166" s="27" t="e">
        <f t="shared" si="27"/>
        <v>#DIV/0!</v>
      </c>
      <c r="P166" s="18"/>
      <c r="Q166" s="18"/>
      <c r="R166" s="27">
        <v>0</v>
      </c>
      <c r="S166" s="27">
        <f t="shared" si="25"/>
        <v>0</v>
      </c>
      <c r="U166" s="18"/>
      <c r="V166" s="18"/>
      <c r="W166" s="18"/>
      <c r="X166" s="27">
        <v>0</v>
      </c>
      <c r="Y166" s="27">
        <f t="shared" si="26"/>
        <v>0</v>
      </c>
    </row>
    <row r="167" spans="3:25" x14ac:dyDescent="0.25">
      <c r="C167" s="18" t="s">
        <v>59</v>
      </c>
      <c r="D167" s="18"/>
      <c r="E167" s="57">
        <f>SUM(E149:E166)</f>
        <v>0</v>
      </c>
      <c r="F167" s="18"/>
      <c r="G167" s="18"/>
      <c r="I167" s="18" t="s">
        <v>59</v>
      </c>
      <c r="J167" s="18"/>
      <c r="K167" s="22">
        <f>SUM(K149:K166)</f>
        <v>77</v>
      </c>
      <c r="L167" s="26"/>
      <c r="M167" s="18"/>
      <c r="P167" s="83" t="s">
        <v>27</v>
      </c>
      <c r="Q167" s="84"/>
      <c r="R167" s="85"/>
      <c r="S167" s="58">
        <f>SUM(S149:S166)</f>
        <v>105</v>
      </c>
      <c r="U167" s="83" t="s">
        <v>27</v>
      </c>
      <c r="V167" s="84"/>
      <c r="W167" s="84"/>
      <c r="X167" s="85"/>
      <c r="Y167" s="58">
        <f>SUM(Y149:Y166)</f>
        <v>77</v>
      </c>
    </row>
    <row r="172" spans="3:25" x14ac:dyDescent="0.25">
      <c r="C172" t="s">
        <v>202</v>
      </c>
    </row>
    <row r="173" spans="3:25" x14ac:dyDescent="0.25">
      <c r="C173" s="43" t="s">
        <v>76</v>
      </c>
      <c r="D173" s="65"/>
      <c r="P173" s="18" t="str">
        <f>C172</f>
        <v>FECHA: DOMINGO</v>
      </c>
      <c r="U173" s="18" t="str">
        <f>P173</f>
        <v>FECHA: DOMINGO</v>
      </c>
    </row>
    <row r="174" spans="3:25" x14ac:dyDescent="0.25">
      <c r="C174" s="74" t="s">
        <v>7</v>
      </c>
      <c r="D174" s="75"/>
      <c r="E174" s="75"/>
      <c r="F174" s="75"/>
      <c r="G174" s="76"/>
      <c r="I174" s="77" t="s">
        <v>8</v>
      </c>
      <c r="J174" s="78"/>
      <c r="K174" s="78"/>
      <c r="L174" s="78"/>
      <c r="M174" s="79"/>
      <c r="P174" s="74" t="s">
        <v>9</v>
      </c>
      <c r="Q174" s="75"/>
      <c r="R174" s="75"/>
      <c r="S174" s="76"/>
      <c r="U174" s="80" t="s">
        <v>77</v>
      </c>
      <c r="V174" s="81"/>
      <c r="W174" s="81"/>
      <c r="X174" s="81"/>
      <c r="Y174" s="82"/>
    </row>
    <row r="175" spans="3:25" x14ac:dyDescent="0.25">
      <c r="C175" s="18" t="s">
        <v>19</v>
      </c>
      <c r="D175" s="18" t="s">
        <v>20</v>
      </c>
      <c r="E175" s="18" t="s">
        <v>21</v>
      </c>
      <c r="F175" s="18" t="s">
        <v>22</v>
      </c>
      <c r="G175" s="18" t="s">
        <v>23</v>
      </c>
      <c r="I175" s="18" t="s">
        <v>19</v>
      </c>
      <c r="J175" s="18" t="s">
        <v>20</v>
      </c>
      <c r="K175" s="18" t="s">
        <v>21</v>
      </c>
      <c r="L175" s="18" t="s">
        <v>22</v>
      </c>
      <c r="M175" s="18" t="s">
        <v>23</v>
      </c>
      <c r="P175" s="18" t="s">
        <v>24</v>
      </c>
      <c r="Q175" s="18" t="s">
        <v>25</v>
      </c>
      <c r="R175" s="18" t="s">
        <v>26</v>
      </c>
      <c r="S175" s="18" t="s">
        <v>27</v>
      </c>
      <c r="U175" s="18" t="s">
        <v>24</v>
      </c>
      <c r="V175" s="18" t="s">
        <v>25</v>
      </c>
      <c r="W175" s="18"/>
      <c r="X175" s="18" t="s">
        <v>26</v>
      </c>
      <c r="Y175" s="18" t="s">
        <v>27</v>
      </c>
    </row>
    <row r="176" spans="3:25" x14ac:dyDescent="0.25">
      <c r="C176" s="26">
        <v>1</v>
      </c>
      <c r="D176" s="18" t="s">
        <v>203</v>
      </c>
      <c r="E176" s="27">
        <v>14</v>
      </c>
      <c r="F176" s="27">
        <v>20</v>
      </c>
      <c r="G176" s="27">
        <f>E176/F176</f>
        <v>0.7</v>
      </c>
      <c r="I176" s="18"/>
      <c r="J176" s="18"/>
      <c r="K176" s="27">
        <v>0</v>
      </c>
      <c r="L176" s="28"/>
      <c r="M176" s="27" t="e">
        <f>K176/L176</f>
        <v>#DIV/0!</v>
      </c>
      <c r="P176" s="18">
        <v>4</v>
      </c>
      <c r="Q176" s="18" t="s">
        <v>204</v>
      </c>
      <c r="R176" s="27">
        <v>6</v>
      </c>
      <c r="S176" s="27">
        <f t="shared" ref="S176:S193" si="30">P176*R176</f>
        <v>24</v>
      </c>
      <c r="U176" s="18">
        <v>1</v>
      </c>
      <c r="V176" s="18" t="s">
        <v>107</v>
      </c>
      <c r="W176" s="18"/>
      <c r="X176" s="27">
        <v>12.5</v>
      </c>
      <c r="Y176" s="27">
        <f t="shared" ref="Y176:Y193" si="31">U176*X176</f>
        <v>12.5</v>
      </c>
    </row>
    <row r="177" spans="3:25" x14ac:dyDescent="0.25">
      <c r="C177" s="26"/>
      <c r="D177" s="18"/>
      <c r="E177" s="27">
        <v>0</v>
      </c>
      <c r="F177" s="27">
        <v>0</v>
      </c>
      <c r="G177" s="27" t="e">
        <f>E177/F177</f>
        <v>#DIV/0!</v>
      </c>
      <c r="I177" s="18"/>
      <c r="J177" s="18"/>
      <c r="K177" s="27">
        <v>0</v>
      </c>
      <c r="L177" s="28"/>
      <c r="M177" s="27" t="e">
        <f t="shared" ref="M177:M193" si="32">K177/L177</f>
        <v>#DIV/0!</v>
      </c>
      <c r="P177" s="18">
        <v>4</v>
      </c>
      <c r="Q177" s="18" t="s">
        <v>89</v>
      </c>
      <c r="R177" s="27">
        <v>20</v>
      </c>
      <c r="S177" s="27">
        <f t="shared" si="30"/>
        <v>80</v>
      </c>
      <c r="U177" s="18">
        <v>1</v>
      </c>
      <c r="V177" s="18" t="s">
        <v>37</v>
      </c>
      <c r="W177" s="18"/>
      <c r="X177" s="27">
        <v>14</v>
      </c>
      <c r="Y177" s="27">
        <f t="shared" si="31"/>
        <v>14</v>
      </c>
    </row>
    <row r="178" spans="3:25" x14ac:dyDescent="0.25">
      <c r="C178" s="26"/>
      <c r="D178" s="18"/>
      <c r="E178" s="27">
        <v>0</v>
      </c>
      <c r="F178" s="27">
        <v>0</v>
      </c>
      <c r="G178" s="27" t="e">
        <f t="shared" ref="G178:G193" si="33">E178/F178</f>
        <v>#DIV/0!</v>
      </c>
      <c r="I178" s="18"/>
      <c r="J178" s="18"/>
      <c r="K178" s="27">
        <v>0</v>
      </c>
      <c r="L178" s="26"/>
      <c r="M178" s="27" t="e">
        <f t="shared" si="32"/>
        <v>#DIV/0!</v>
      </c>
      <c r="P178" s="18">
        <v>1</v>
      </c>
      <c r="Q178" s="18" t="s">
        <v>34</v>
      </c>
      <c r="R178" s="27">
        <v>3.5</v>
      </c>
      <c r="S178" s="27">
        <f t="shared" si="30"/>
        <v>3.5</v>
      </c>
      <c r="U178" s="18">
        <v>1</v>
      </c>
      <c r="V178" s="18" t="s">
        <v>107</v>
      </c>
      <c r="W178" s="18"/>
      <c r="X178" s="27">
        <v>25</v>
      </c>
      <c r="Y178" s="27">
        <f t="shared" si="31"/>
        <v>25</v>
      </c>
    </row>
    <row r="179" spans="3:25" x14ac:dyDescent="0.25">
      <c r="C179" s="26"/>
      <c r="D179" s="18"/>
      <c r="E179" s="27">
        <v>0</v>
      </c>
      <c r="F179" s="27">
        <v>0</v>
      </c>
      <c r="G179" s="27" t="e">
        <f t="shared" si="33"/>
        <v>#DIV/0!</v>
      </c>
      <c r="I179" s="18"/>
      <c r="J179" s="18"/>
      <c r="K179" s="27">
        <v>0</v>
      </c>
      <c r="L179" s="26"/>
      <c r="M179" s="27" t="e">
        <f t="shared" si="32"/>
        <v>#DIV/0!</v>
      </c>
      <c r="P179" s="18">
        <v>4</v>
      </c>
      <c r="Q179" s="18" t="s">
        <v>112</v>
      </c>
      <c r="R179" s="27">
        <v>11</v>
      </c>
      <c r="S179" s="27">
        <f t="shared" si="30"/>
        <v>44</v>
      </c>
      <c r="U179" s="18">
        <v>1</v>
      </c>
      <c r="V179" s="18" t="s">
        <v>49</v>
      </c>
      <c r="W179" s="18"/>
      <c r="X179" s="27">
        <v>17</v>
      </c>
      <c r="Y179" s="27">
        <f t="shared" si="31"/>
        <v>17</v>
      </c>
    </row>
    <row r="180" spans="3:25" x14ac:dyDescent="0.25">
      <c r="C180" s="26"/>
      <c r="D180" s="18"/>
      <c r="E180" s="27">
        <v>0</v>
      </c>
      <c r="F180" s="27">
        <v>0</v>
      </c>
      <c r="G180" s="27" t="e">
        <f t="shared" si="33"/>
        <v>#DIV/0!</v>
      </c>
      <c r="I180" s="18"/>
      <c r="J180" s="18"/>
      <c r="K180" s="27">
        <v>0</v>
      </c>
      <c r="L180" s="26"/>
      <c r="M180" s="27" t="e">
        <f t="shared" si="32"/>
        <v>#DIV/0!</v>
      </c>
      <c r="P180" s="18">
        <v>1</v>
      </c>
      <c r="Q180" s="18" t="s">
        <v>105</v>
      </c>
      <c r="R180" s="27">
        <v>17</v>
      </c>
      <c r="S180" s="27">
        <f t="shared" si="30"/>
        <v>17</v>
      </c>
      <c r="U180" s="18"/>
      <c r="V180" s="18"/>
      <c r="W180" s="18"/>
      <c r="X180" s="27">
        <v>0</v>
      </c>
      <c r="Y180" s="27">
        <f t="shared" si="31"/>
        <v>0</v>
      </c>
    </row>
    <row r="181" spans="3:25" x14ac:dyDescent="0.25">
      <c r="C181" s="26"/>
      <c r="D181" s="18"/>
      <c r="E181" s="27">
        <v>0</v>
      </c>
      <c r="F181" s="27">
        <v>0</v>
      </c>
      <c r="G181" s="27" t="e">
        <f t="shared" si="33"/>
        <v>#DIV/0!</v>
      </c>
      <c r="I181" s="18"/>
      <c r="J181" s="18"/>
      <c r="K181" s="27">
        <v>0</v>
      </c>
      <c r="L181" s="26"/>
      <c r="M181" s="27" t="e">
        <f t="shared" si="32"/>
        <v>#DIV/0!</v>
      </c>
      <c r="P181" s="18">
        <v>1</v>
      </c>
      <c r="Q181" s="18" t="s">
        <v>205</v>
      </c>
      <c r="R181" s="27">
        <v>14</v>
      </c>
      <c r="S181" s="27">
        <f t="shared" si="30"/>
        <v>14</v>
      </c>
      <c r="U181" s="18"/>
      <c r="V181" s="18"/>
      <c r="W181" s="18"/>
      <c r="X181" s="27">
        <v>0</v>
      </c>
      <c r="Y181" s="27">
        <f t="shared" si="31"/>
        <v>0</v>
      </c>
    </row>
    <row r="182" spans="3:25" x14ac:dyDescent="0.25">
      <c r="C182" s="26"/>
      <c r="D182" s="18"/>
      <c r="E182" s="27">
        <v>0</v>
      </c>
      <c r="F182" s="27">
        <v>0</v>
      </c>
      <c r="G182" s="27" t="e">
        <f t="shared" si="33"/>
        <v>#DIV/0!</v>
      </c>
      <c r="I182" s="18"/>
      <c r="J182" s="18"/>
      <c r="K182" s="27">
        <v>0</v>
      </c>
      <c r="L182" s="26"/>
      <c r="M182" s="27" t="e">
        <f t="shared" si="32"/>
        <v>#DIV/0!</v>
      </c>
      <c r="P182" s="18">
        <v>1</v>
      </c>
      <c r="Q182" s="18" t="s">
        <v>85</v>
      </c>
      <c r="R182" s="27">
        <v>15</v>
      </c>
      <c r="S182" s="27">
        <f t="shared" si="30"/>
        <v>15</v>
      </c>
      <c r="U182" s="18"/>
      <c r="V182" s="18"/>
      <c r="W182" s="18"/>
      <c r="X182" s="27">
        <v>0</v>
      </c>
      <c r="Y182" s="27">
        <f t="shared" si="31"/>
        <v>0</v>
      </c>
    </row>
    <row r="183" spans="3:25" x14ac:dyDescent="0.25">
      <c r="C183" s="26"/>
      <c r="D183" s="18"/>
      <c r="E183" s="27">
        <v>0</v>
      </c>
      <c r="F183" s="27">
        <v>0</v>
      </c>
      <c r="G183" s="27" t="e">
        <f t="shared" si="33"/>
        <v>#DIV/0!</v>
      </c>
      <c r="I183" s="18"/>
      <c r="J183" s="18"/>
      <c r="K183" s="27">
        <v>0</v>
      </c>
      <c r="L183" s="26"/>
      <c r="M183" s="27" t="e">
        <f t="shared" si="32"/>
        <v>#DIV/0!</v>
      </c>
      <c r="P183" s="18"/>
      <c r="Q183" s="18"/>
      <c r="R183" s="27">
        <v>0</v>
      </c>
      <c r="S183" s="27">
        <f t="shared" si="30"/>
        <v>0</v>
      </c>
      <c r="U183" s="18"/>
      <c r="V183" s="18"/>
      <c r="W183" s="18"/>
      <c r="X183" s="27">
        <v>0</v>
      </c>
      <c r="Y183" s="27">
        <f t="shared" si="31"/>
        <v>0</v>
      </c>
    </row>
    <row r="184" spans="3:25" x14ac:dyDescent="0.25">
      <c r="C184" s="26"/>
      <c r="D184" s="18"/>
      <c r="E184" s="27">
        <v>0</v>
      </c>
      <c r="F184" s="27">
        <v>0</v>
      </c>
      <c r="G184" s="27" t="e">
        <f t="shared" si="33"/>
        <v>#DIV/0!</v>
      </c>
      <c r="I184" s="18"/>
      <c r="J184" s="18"/>
      <c r="K184" s="27">
        <v>0</v>
      </c>
      <c r="L184" s="26"/>
      <c r="M184" s="27" t="e">
        <f t="shared" si="32"/>
        <v>#DIV/0!</v>
      </c>
      <c r="P184" s="18"/>
      <c r="Q184" s="18"/>
      <c r="R184" s="27">
        <v>0</v>
      </c>
      <c r="S184" s="27">
        <f t="shared" si="30"/>
        <v>0</v>
      </c>
      <c r="U184" s="18"/>
      <c r="V184" s="18"/>
      <c r="W184" s="18"/>
      <c r="X184" s="27">
        <v>0</v>
      </c>
      <c r="Y184" s="27">
        <f t="shared" si="31"/>
        <v>0</v>
      </c>
    </row>
    <row r="185" spans="3:25" x14ac:dyDescent="0.25">
      <c r="C185" s="26"/>
      <c r="D185" s="18"/>
      <c r="E185" s="27">
        <v>0</v>
      </c>
      <c r="F185" s="27">
        <v>0</v>
      </c>
      <c r="G185" s="27" t="e">
        <f t="shared" si="33"/>
        <v>#DIV/0!</v>
      </c>
      <c r="I185" s="18"/>
      <c r="J185" s="18"/>
      <c r="K185" s="27">
        <v>0</v>
      </c>
      <c r="L185" s="26"/>
      <c r="M185" s="27" t="e">
        <f t="shared" si="32"/>
        <v>#DIV/0!</v>
      </c>
      <c r="P185" s="18"/>
      <c r="Q185" s="18"/>
      <c r="R185" s="27">
        <v>0</v>
      </c>
      <c r="S185" s="27">
        <f t="shared" si="30"/>
        <v>0</v>
      </c>
      <c r="U185" s="18"/>
      <c r="V185" s="18"/>
      <c r="W185" s="18"/>
      <c r="X185" s="27">
        <v>0</v>
      </c>
      <c r="Y185" s="27">
        <f t="shared" si="31"/>
        <v>0</v>
      </c>
    </row>
    <row r="186" spans="3:25" x14ac:dyDescent="0.25">
      <c r="C186" s="26"/>
      <c r="D186" s="18"/>
      <c r="E186" s="27">
        <v>0</v>
      </c>
      <c r="F186" s="27">
        <v>0</v>
      </c>
      <c r="G186" s="27" t="e">
        <f t="shared" si="33"/>
        <v>#DIV/0!</v>
      </c>
      <c r="I186" s="18"/>
      <c r="J186" s="18"/>
      <c r="K186" s="27">
        <v>0</v>
      </c>
      <c r="L186" s="26"/>
      <c r="M186" s="27" t="e">
        <f t="shared" si="32"/>
        <v>#DIV/0!</v>
      </c>
      <c r="P186" s="18"/>
      <c r="Q186" s="18"/>
      <c r="R186" s="27">
        <v>0</v>
      </c>
      <c r="S186" s="27">
        <f t="shared" si="30"/>
        <v>0</v>
      </c>
      <c r="U186" s="18"/>
      <c r="V186" s="18"/>
      <c r="W186" s="18"/>
      <c r="X186" s="27">
        <v>0</v>
      </c>
      <c r="Y186" s="27">
        <f t="shared" si="31"/>
        <v>0</v>
      </c>
    </row>
    <row r="187" spans="3:25" x14ac:dyDescent="0.25">
      <c r="C187" s="26"/>
      <c r="D187" s="18"/>
      <c r="E187" s="27">
        <v>0</v>
      </c>
      <c r="F187" s="27">
        <v>0</v>
      </c>
      <c r="G187" s="27" t="e">
        <f t="shared" si="33"/>
        <v>#DIV/0!</v>
      </c>
      <c r="I187" s="18"/>
      <c r="J187" s="18"/>
      <c r="K187" s="27">
        <v>0</v>
      </c>
      <c r="L187" s="26"/>
      <c r="M187" s="27" t="e">
        <f t="shared" si="32"/>
        <v>#DIV/0!</v>
      </c>
      <c r="P187" s="18"/>
      <c r="Q187" s="18"/>
      <c r="R187" s="27">
        <v>0</v>
      </c>
      <c r="S187" s="27">
        <f t="shared" si="30"/>
        <v>0</v>
      </c>
      <c r="U187" s="18"/>
      <c r="V187" s="18"/>
      <c r="W187" s="18"/>
      <c r="X187" s="27">
        <v>0</v>
      </c>
      <c r="Y187" s="27">
        <f t="shared" si="31"/>
        <v>0</v>
      </c>
    </row>
    <row r="188" spans="3:25" x14ac:dyDescent="0.25">
      <c r="C188" s="26"/>
      <c r="D188" s="18"/>
      <c r="E188" s="27">
        <f t="shared" ref="E188:E193" si="34">SUM(X188:Z188)</f>
        <v>0</v>
      </c>
      <c r="F188" s="27">
        <v>0</v>
      </c>
      <c r="G188" s="27" t="e">
        <f t="shared" si="33"/>
        <v>#DIV/0!</v>
      </c>
      <c r="I188" s="18"/>
      <c r="J188" s="18"/>
      <c r="K188" s="27">
        <v>0</v>
      </c>
      <c r="L188" s="26"/>
      <c r="M188" s="27" t="e">
        <f t="shared" si="32"/>
        <v>#DIV/0!</v>
      </c>
      <c r="P188" s="18"/>
      <c r="Q188" s="18"/>
      <c r="R188" s="27">
        <v>0</v>
      </c>
      <c r="S188" s="27">
        <f t="shared" si="30"/>
        <v>0</v>
      </c>
      <c r="U188" s="18"/>
      <c r="V188" s="18"/>
      <c r="W188" s="18"/>
      <c r="X188" s="27">
        <v>0</v>
      </c>
      <c r="Y188" s="27">
        <f t="shared" si="31"/>
        <v>0</v>
      </c>
    </row>
    <row r="189" spans="3:25" x14ac:dyDescent="0.25">
      <c r="C189" s="26"/>
      <c r="D189" s="18"/>
      <c r="E189" s="27">
        <f t="shared" si="34"/>
        <v>0</v>
      </c>
      <c r="F189" s="27">
        <v>0</v>
      </c>
      <c r="G189" s="27" t="e">
        <f t="shared" si="33"/>
        <v>#DIV/0!</v>
      </c>
      <c r="I189" s="18"/>
      <c r="J189" s="18"/>
      <c r="K189" s="27">
        <v>0</v>
      </c>
      <c r="L189" s="26"/>
      <c r="M189" s="27" t="e">
        <f t="shared" si="32"/>
        <v>#DIV/0!</v>
      </c>
      <c r="P189" s="18"/>
      <c r="Q189" s="18"/>
      <c r="R189" s="27">
        <v>0</v>
      </c>
      <c r="S189" s="27">
        <f t="shared" si="30"/>
        <v>0</v>
      </c>
      <c r="U189" s="18"/>
      <c r="V189" s="18"/>
      <c r="W189" s="18"/>
      <c r="X189" s="27">
        <v>0</v>
      </c>
      <c r="Y189" s="27">
        <f t="shared" si="31"/>
        <v>0</v>
      </c>
    </row>
    <row r="190" spans="3:25" x14ac:dyDescent="0.25">
      <c r="C190" s="26"/>
      <c r="D190" s="18"/>
      <c r="E190" s="27">
        <f t="shared" si="34"/>
        <v>0</v>
      </c>
      <c r="F190" s="27">
        <v>0</v>
      </c>
      <c r="G190" s="27" t="e">
        <f t="shared" si="33"/>
        <v>#DIV/0!</v>
      </c>
      <c r="I190" s="18"/>
      <c r="J190" s="18"/>
      <c r="K190" s="27">
        <v>0</v>
      </c>
      <c r="L190" s="26"/>
      <c r="M190" s="27" t="e">
        <f t="shared" si="32"/>
        <v>#DIV/0!</v>
      </c>
      <c r="P190" s="18"/>
      <c r="Q190" s="18"/>
      <c r="R190" s="27">
        <v>0</v>
      </c>
      <c r="S190" s="27">
        <f t="shared" si="30"/>
        <v>0</v>
      </c>
      <c r="U190" s="18"/>
      <c r="V190" s="18"/>
      <c r="W190" s="18"/>
      <c r="X190" s="27">
        <v>0</v>
      </c>
      <c r="Y190" s="27">
        <f t="shared" si="31"/>
        <v>0</v>
      </c>
    </row>
    <row r="191" spans="3:25" x14ac:dyDescent="0.25">
      <c r="C191" s="26"/>
      <c r="D191" s="18"/>
      <c r="E191" s="27">
        <f t="shared" si="34"/>
        <v>0</v>
      </c>
      <c r="F191" s="27">
        <v>0</v>
      </c>
      <c r="G191" s="27" t="e">
        <f t="shared" si="33"/>
        <v>#DIV/0!</v>
      </c>
      <c r="I191" s="18"/>
      <c r="J191" s="18"/>
      <c r="K191" s="27">
        <v>0</v>
      </c>
      <c r="L191" s="26"/>
      <c r="M191" s="27" t="e">
        <f t="shared" si="32"/>
        <v>#DIV/0!</v>
      </c>
      <c r="P191" s="18"/>
      <c r="Q191" s="18"/>
      <c r="R191" s="27">
        <v>0</v>
      </c>
      <c r="S191" s="27">
        <f t="shared" si="30"/>
        <v>0</v>
      </c>
      <c r="U191" s="18"/>
      <c r="V191" s="18"/>
      <c r="W191" s="18"/>
      <c r="X191" s="27">
        <v>0</v>
      </c>
      <c r="Y191" s="27">
        <f t="shared" si="31"/>
        <v>0</v>
      </c>
    </row>
    <row r="192" spans="3:25" x14ac:dyDescent="0.25">
      <c r="C192" s="26"/>
      <c r="D192" s="18"/>
      <c r="E192" s="27">
        <f t="shared" si="34"/>
        <v>0</v>
      </c>
      <c r="F192" s="27">
        <v>0</v>
      </c>
      <c r="G192" s="27" t="e">
        <f t="shared" si="33"/>
        <v>#DIV/0!</v>
      </c>
      <c r="I192" s="18"/>
      <c r="J192" s="18"/>
      <c r="K192" s="27">
        <v>0</v>
      </c>
      <c r="L192" s="26"/>
      <c r="M192" s="27" t="e">
        <f t="shared" si="32"/>
        <v>#DIV/0!</v>
      </c>
      <c r="P192" s="18"/>
      <c r="Q192" s="18"/>
      <c r="R192" s="27">
        <v>0</v>
      </c>
      <c r="S192" s="27">
        <f t="shared" si="30"/>
        <v>0</v>
      </c>
      <c r="U192" s="18"/>
      <c r="V192" s="18"/>
      <c r="W192" s="18"/>
      <c r="X192" s="27">
        <v>0</v>
      </c>
      <c r="Y192" s="27">
        <f t="shared" si="31"/>
        <v>0</v>
      </c>
    </row>
    <row r="193" spans="3:25" x14ac:dyDescent="0.25">
      <c r="C193" s="26"/>
      <c r="D193" s="18"/>
      <c r="E193" s="27">
        <f t="shared" si="34"/>
        <v>0</v>
      </c>
      <c r="F193" s="27">
        <v>0</v>
      </c>
      <c r="G193" s="27" t="e">
        <f t="shared" si="33"/>
        <v>#DIV/0!</v>
      </c>
      <c r="I193" s="18"/>
      <c r="J193" s="18"/>
      <c r="K193" s="27">
        <v>0</v>
      </c>
      <c r="L193" s="26"/>
      <c r="M193" s="27" t="e">
        <f t="shared" si="32"/>
        <v>#DIV/0!</v>
      </c>
      <c r="P193" s="18"/>
      <c r="Q193" s="18"/>
      <c r="R193" s="27">
        <v>0</v>
      </c>
      <c r="S193" s="27">
        <f t="shared" si="30"/>
        <v>0</v>
      </c>
      <c r="U193" s="18"/>
      <c r="V193" s="18"/>
      <c r="W193" s="18"/>
      <c r="X193" s="27">
        <v>0</v>
      </c>
      <c r="Y193" s="27">
        <f t="shared" si="31"/>
        <v>0</v>
      </c>
    </row>
    <row r="194" spans="3:25" x14ac:dyDescent="0.25">
      <c r="C194" s="18" t="s">
        <v>59</v>
      </c>
      <c r="D194" s="18"/>
      <c r="E194" s="57">
        <f>SUM(E176:E193)</f>
        <v>14</v>
      </c>
      <c r="F194" s="18"/>
      <c r="G194" s="18"/>
      <c r="I194" s="18" t="s">
        <v>59</v>
      </c>
      <c r="J194" s="18"/>
      <c r="K194" s="22">
        <f>SUM(K176:K193)</f>
        <v>0</v>
      </c>
      <c r="L194" s="26"/>
      <c r="M194" s="18"/>
      <c r="P194" s="83" t="s">
        <v>27</v>
      </c>
      <c r="Q194" s="84"/>
      <c r="R194" s="85"/>
      <c r="S194" s="58">
        <f>SUM(S176:S193)</f>
        <v>197.5</v>
      </c>
      <c r="U194" s="83" t="s">
        <v>27</v>
      </c>
      <c r="V194" s="84"/>
      <c r="W194" s="84"/>
      <c r="X194" s="85"/>
      <c r="Y194" s="58">
        <f>SUM(Y176:Y193)</f>
        <v>68.5</v>
      </c>
    </row>
  </sheetData>
  <mergeCells count="42">
    <mergeCell ref="C11:G11"/>
    <mergeCell ref="I11:M11"/>
    <mergeCell ref="P11:S11"/>
    <mergeCell ref="U11:Y11"/>
    <mergeCell ref="P31:R31"/>
    <mergeCell ref="U31:X31"/>
    <mergeCell ref="C39:G39"/>
    <mergeCell ref="I39:M39"/>
    <mergeCell ref="P39:S39"/>
    <mergeCell ref="U39:Y39"/>
    <mergeCell ref="P59:R59"/>
    <mergeCell ref="U59:X59"/>
    <mergeCell ref="C66:G66"/>
    <mergeCell ref="I66:M66"/>
    <mergeCell ref="P66:S66"/>
    <mergeCell ref="U66:Y66"/>
    <mergeCell ref="P86:R86"/>
    <mergeCell ref="U86:X86"/>
    <mergeCell ref="C93:G93"/>
    <mergeCell ref="I93:M93"/>
    <mergeCell ref="P93:S93"/>
    <mergeCell ref="U93:Y93"/>
    <mergeCell ref="P113:R113"/>
    <mergeCell ref="U113:X113"/>
    <mergeCell ref="C120:G120"/>
    <mergeCell ref="I120:M120"/>
    <mergeCell ref="P120:S120"/>
    <mergeCell ref="U120:Y120"/>
    <mergeCell ref="P140:R140"/>
    <mergeCell ref="U140:X140"/>
    <mergeCell ref="C147:G147"/>
    <mergeCell ref="I147:M147"/>
    <mergeCell ref="P147:S147"/>
    <mergeCell ref="U147:Y147"/>
    <mergeCell ref="P167:R167"/>
    <mergeCell ref="U167:X167"/>
    <mergeCell ref="C174:G174"/>
    <mergeCell ref="I174:M174"/>
    <mergeCell ref="P174:S174"/>
    <mergeCell ref="U174:Y174"/>
    <mergeCell ref="P194:R194"/>
    <mergeCell ref="U194:X1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6-12 DE ABRIL</vt:lpstr>
      <vt:lpstr>30 DE MARZO -5 DE ABRIL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2026-04-14T20:26:34Z</dcterms:created>
  <dcterms:modified xsi:type="dcterms:W3CDTF">2026-04-14T20:51:44Z</dcterms:modified>
</cp:coreProperties>
</file>