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 PC\Desktop\Admon. panaderías 2025\"/>
    </mc:Choice>
  </mc:AlternateContent>
  <xr:revisionPtr revIDLastSave="0" documentId="13_ncr:1_{3C11FEB5-8A05-4C22-8742-ADD3BAC89259}" xr6:coauthVersionLast="47" xr6:coauthVersionMax="47" xr10:uidLastSave="{00000000-0000-0000-0000-000000000000}"/>
  <bookViews>
    <workbookView xWindow="-120" yWindow="-120" windowWidth="20730" windowHeight="11160" activeTab="2" xr2:uid="{DFF4A5ED-3E3F-4255-8D98-B216E63735F1}"/>
  </bookViews>
  <sheets>
    <sheet name="Cortes" sheetId="1" r:id="rId1"/>
    <sheet name="Compras" sheetId="2" r:id="rId2"/>
    <sheet name="Producción" sheetId="3" r:id="rId3"/>
    <sheet name="Nomin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3" l="1"/>
  <c r="G45" i="3"/>
  <c r="AK40" i="3"/>
  <c r="AV39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O39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D40" i="3"/>
  <c r="AH39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F54" i="2"/>
  <c r="L35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W40" i="3"/>
  <c r="AA39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T15" i="3"/>
  <c r="P40" i="3"/>
  <c r="T39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4" i="3"/>
  <c r="T13" i="3"/>
  <c r="T12" i="3"/>
  <c r="T11" i="3"/>
  <c r="T10" i="3"/>
  <c r="T9" i="3"/>
  <c r="T8" i="3"/>
  <c r="T7" i="3"/>
  <c r="T6" i="3"/>
  <c r="T5" i="3"/>
  <c r="T4" i="3"/>
  <c r="M10" i="3"/>
  <c r="I40" i="3"/>
  <c r="M39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4" i="3"/>
  <c r="M13" i="3"/>
  <c r="M12" i="3"/>
  <c r="M11" i="3"/>
  <c r="M9" i="3"/>
  <c r="M8" i="3"/>
  <c r="M7" i="3"/>
  <c r="M6" i="3"/>
  <c r="M5" i="3"/>
  <c r="M4" i="3"/>
  <c r="K26" i="1"/>
  <c r="K31" i="1"/>
  <c r="L56" i="1"/>
  <c r="L55" i="1"/>
  <c r="L54" i="1"/>
  <c r="L53" i="1"/>
  <c r="L52" i="1"/>
  <c r="L51" i="1"/>
  <c r="L50" i="1"/>
  <c r="L49" i="1"/>
  <c r="L46" i="1"/>
  <c r="L37" i="1"/>
  <c r="L36" i="1"/>
  <c r="L35" i="1"/>
  <c r="F37" i="3"/>
  <c r="D70" i="1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25" i="2" s="1"/>
  <c r="F8" i="2"/>
  <c r="F7" i="2"/>
  <c r="B40" i="3"/>
  <c r="F39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4" i="3"/>
  <c r="F13" i="3"/>
  <c r="F12" i="3"/>
  <c r="F11" i="3"/>
  <c r="F9" i="3"/>
  <c r="F8" i="3"/>
  <c r="F7" i="3"/>
  <c r="F6" i="3"/>
  <c r="F5" i="3"/>
  <c r="F4" i="3"/>
  <c r="F25" i="4"/>
  <c r="N23" i="4"/>
  <c r="G23" i="4"/>
  <c r="G22" i="4"/>
  <c r="G21" i="4"/>
  <c r="G20" i="4"/>
  <c r="N12" i="4" s="1"/>
  <c r="G18" i="4"/>
  <c r="G17" i="4"/>
  <c r="O19" i="4" s="1"/>
  <c r="G16" i="4"/>
  <c r="G15" i="4"/>
  <c r="O23" i="4" s="1"/>
  <c r="G14" i="4"/>
  <c r="L12" i="4"/>
  <c r="G12" i="4"/>
  <c r="G10" i="4"/>
  <c r="O12" i="4" s="1"/>
  <c r="G9" i="4"/>
  <c r="G25" i="4" s="1"/>
  <c r="AV40" i="3" l="1"/>
  <c r="AO40" i="3"/>
  <c r="AH40" i="3"/>
  <c r="AA40" i="3"/>
  <c r="T40" i="3"/>
  <c r="M40" i="3"/>
  <c r="F40" i="3"/>
  <c r="N19" i="4"/>
  <c r="J188" i="2"/>
  <c r="D188" i="2"/>
  <c r="L187" i="2"/>
  <c r="F187" i="2"/>
  <c r="D187" i="2"/>
  <c r="L186" i="2"/>
  <c r="F186" i="2"/>
  <c r="D186" i="2"/>
  <c r="L185" i="2"/>
  <c r="F185" i="2"/>
  <c r="D185" i="2"/>
  <c r="L184" i="2"/>
  <c r="F184" i="2"/>
  <c r="D184" i="2"/>
  <c r="L183" i="2"/>
  <c r="F183" i="2"/>
  <c r="D183" i="2"/>
  <c r="L182" i="2"/>
  <c r="F182" i="2"/>
  <c r="D182" i="2"/>
  <c r="L181" i="2"/>
  <c r="F181" i="2"/>
  <c r="L180" i="2"/>
  <c r="F180" i="2"/>
  <c r="L179" i="2"/>
  <c r="F179" i="2"/>
  <c r="L178" i="2"/>
  <c r="F178" i="2"/>
  <c r="L177" i="2"/>
  <c r="F177" i="2"/>
  <c r="L176" i="2"/>
  <c r="F176" i="2"/>
  <c r="L175" i="2"/>
  <c r="F175" i="2"/>
  <c r="L174" i="2"/>
  <c r="F174" i="2"/>
  <c r="L173" i="2"/>
  <c r="F173" i="2"/>
  <c r="L172" i="2"/>
  <c r="F172" i="2"/>
  <c r="L171" i="2"/>
  <c r="F171" i="2"/>
  <c r="L170" i="2"/>
  <c r="F170" i="2"/>
  <c r="J161" i="2"/>
  <c r="D161" i="2"/>
  <c r="L160" i="2"/>
  <c r="F160" i="2"/>
  <c r="D160" i="2"/>
  <c r="L159" i="2"/>
  <c r="F159" i="2"/>
  <c r="D159" i="2"/>
  <c r="L158" i="2"/>
  <c r="F158" i="2"/>
  <c r="D158" i="2"/>
  <c r="L157" i="2"/>
  <c r="F157" i="2"/>
  <c r="D157" i="2"/>
  <c r="L156" i="2"/>
  <c r="F156" i="2"/>
  <c r="D156" i="2"/>
  <c r="L155" i="2"/>
  <c r="F155" i="2"/>
  <c r="D155" i="2"/>
  <c r="L154" i="2"/>
  <c r="F154" i="2"/>
  <c r="L153" i="2"/>
  <c r="F153" i="2"/>
  <c r="L152" i="2"/>
  <c r="F152" i="2"/>
  <c r="L151" i="2"/>
  <c r="F151" i="2"/>
  <c r="L150" i="2"/>
  <c r="F150" i="2"/>
  <c r="L149" i="2"/>
  <c r="F149" i="2"/>
  <c r="L148" i="2"/>
  <c r="F148" i="2"/>
  <c r="L147" i="2"/>
  <c r="F147" i="2"/>
  <c r="L146" i="2"/>
  <c r="F146" i="2"/>
  <c r="L145" i="2"/>
  <c r="F145" i="2"/>
  <c r="L144" i="2"/>
  <c r="F144" i="2"/>
  <c r="L143" i="2"/>
  <c r="F143" i="2"/>
  <c r="J134" i="2"/>
  <c r="D134" i="2"/>
  <c r="L133" i="2"/>
  <c r="F133" i="2"/>
  <c r="D133" i="2"/>
  <c r="L132" i="2"/>
  <c r="F132" i="2"/>
  <c r="D132" i="2"/>
  <c r="L131" i="2"/>
  <c r="F131" i="2"/>
  <c r="D131" i="2"/>
  <c r="L130" i="2"/>
  <c r="F130" i="2"/>
  <c r="D130" i="2"/>
  <c r="L129" i="2"/>
  <c r="F129" i="2"/>
  <c r="D129" i="2"/>
  <c r="L128" i="2"/>
  <c r="F128" i="2"/>
  <c r="D128" i="2"/>
  <c r="L127" i="2"/>
  <c r="F127" i="2"/>
  <c r="L126" i="2"/>
  <c r="F126" i="2"/>
  <c r="L125" i="2"/>
  <c r="F125" i="2"/>
  <c r="L124" i="2"/>
  <c r="F124" i="2"/>
  <c r="L123" i="2"/>
  <c r="F123" i="2"/>
  <c r="L122" i="2"/>
  <c r="F122" i="2"/>
  <c r="L121" i="2"/>
  <c r="F121" i="2"/>
  <c r="L120" i="2"/>
  <c r="F120" i="2"/>
  <c r="L119" i="2"/>
  <c r="F119" i="2"/>
  <c r="L118" i="2"/>
  <c r="F118" i="2"/>
  <c r="L117" i="2"/>
  <c r="F117" i="2"/>
  <c r="L116" i="2"/>
  <c r="F116" i="2"/>
  <c r="J107" i="2"/>
  <c r="D107" i="2"/>
  <c r="L106" i="2"/>
  <c r="F106" i="2"/>
  <c r="D106" i="2"/>
  <c r="L105" i="2"/>
  <c r="F105" i="2"/>
  <c r="D105" i="2"/>
  <c r="L104" i="2"/>
  <c r="F104" i="2"/>
  <c r="D104" i="2"/>
  <c r="L103" i="2"/>
  <c r="F103" i="2"/>
  <c r="D103" i="2"/>
  <c r="L102" i="2"/>
  <c r="F102" i="2"/>
  <c r="L101" i="2"/>
  <c r="F101" i="2"/>
  <c r="L100" i="2"/>
  <c r="F100" i="2"/>
  <c r="L99" i="2"/>
  <c r="F99" i="2"/>
  <c r="L98" i="2"/>
  <c r="F98" i="2"/>
  <c r="L97" i="2"/>
  <c r="F97" i="2"/>
  <c r="L96" i="2"/>
  <c r="F96" i="2"/>
  <c r="L95" i="2"/>
  <c r="F95" i="2"/>
  <c r="L94" i="2"/>
  <c r="F94" i="2"/>
  <c r="L93" i="2"/>
  <c r="F93" i="2"/>
  <c r="L92" i="2"/>
  <c r="F92" i="2"/>
  <c r="L91" i="2"/>
  <c r="F91" i="2"/>
  <c r="L90" i="2"/>
  <c r="F90" i="2"/>
  <c r="L89" i="2"/>
  <c r="F89" i="2"/>
  <c r="D80" i="2"/>
  <c r="J25" i="2"/>
  <c r="D25" i="2"/>
  <c r="D24" i="2"/>
  <c r="D23" i="2"/>
  <c r="D22" i="2"/>
  <c r="D21" i="2"/>
  <c r="D20" i="2"/>
  <c r="D19" i="2"/>
  <c r="D78" i="1" l="1"/>
  <c r="D77" i="1"/>
  <c r="F77" i="1" s="1"/>
  <c r="H77" i="1" s="1"/>
  <c r="D76" i="1"/>
  <c r="F76" i="1" s="1"/>
  <c r="H76" i="1" s="1"/>
  <c r="D75" i="1"/>
  <c r="F75" i="1" s="1"/>
  <c r="D74" i="1"/>
  <c r="F74" i="1" s="1"/>
  <c r="H74" i="1" s="1"/>
  <c r="F73" i="1"/>
  <c r="H73" i="1" s="1"/>
  <c r="D73" i="1"/>
  <c r="D72" i="1"/>
  <c r="F72" i="1" s="1"/>
  <c r="H72" i="1" s="1"/>
  <c r="D71" i="1"/>
  <c r="F71" i="1" s="1"/>
  <c r="H71" i="1" s="1"/>
  <c r="K70" i="1"/>
  <c r="F70" i="1"/>
  <c r="H70" i="1" s="1"/>
  <c r="K69" i="1"/>
  <c r="D69" i="1"/>
  <c r="F69" i="1" s="1"/>
  <c r="H69" i="1" s="1"/>
  <c r="K68" i="1"/>
  <c r="D68" i="1"/>
  <c r="F68" i="1" s="1"/>
  <c r="H68" i="1" s="1"/>
  <c r="K67" i="1"/>
  <c r="D67" i="1"/>
  <c r="F67" i="1" s="1"/>
  <c r="H67" i="1" s="1"/>
  <c r="K66" i="1"/>
  <c r="D66" i="1"/>
  <c r="F66" i="1" s="1"/>
  <c r="H66" i="1" s="1"/>
  <c r="K65" i="1"/>
  <c r="D65" i="1"/>
  <c r="F65" i="1" s="1"/>
  <c r="H65" i="1" s="1"/>
  <c r="K64" i="1"/>
  <c r="D64" i="1"/>
  <c r="F64" i="1" s="1"/>
  <c r="H64" i="1" s="1"/>
  <c r="K63" i="1"/>
  <c r="D63" i="1"/>
  <c r="F63" i="1" s="1"/>
  <c r="H63" i="1" s="1"/>
  <c r="K62" i="1"/>
  <c r="D62" i="1"/>
  <c r="F62" i="1" s="1"/>
  <c r="H62" i="1" s="1"/>
  <c r="K61" i="1"/>
  <c r="D61" i="1"/>
  <c r="F61" i="1" s="1"/>
  <c r="H61" i="1" s="1"/>
  <c r="K60" i="1"/>
  <c r="K71" i="1" s="1"/>
  <c r="D60" i="1"/>
  <c r="F60" i="1" s="1"/>
  <c r="H60" i="1" s="1"/>
  <c r="D59" i="1"/>
  <c r="F59" i="1" s="1"/>
  <c r="H59" i="1" s="1"/>
  <c r="D58" i="1"/>
  <c r="F58" i="1" s="1"/>
  <c r="H58" i="1" s="1"/>
  <c r="K58" i="1"/>
  <c r="F57" i="1"/>
  <c r="H57" i="1" s="1"/>
  <c r="D57" i="1"/>
  <c r="F56" i="1"/>
  <c r="H56" i="1" s="1"/>
  <c r="D56" i="1"/>
  <c r="D55" i="1"/>
  <c r="F55" i="1" s="1"/>
  <c r="H55" i="1" s="1"/>
  <c r="D54" i="1"/>
  <c r="F54" i="1" s="1"/>
  <c r="H54" i="1" s="1"/>
  <c r="D53" i="1"/>
  <c r="F53" i="1" s="1"/>
  <c r="H53" i="1" s="1"/>
  <c r="F52" i="1"/>
  <c r="H52" i="1" s="1"/>
  <c r="D52" i="1"/>
  <c r="D51" i="1"/>
  <c r="F51" i="1" s="1"/>
  <c r="H51" i="1" s="1"/>
  <c r="D50" i="1"/>
  <c r="F50" i="1" s="1"/>
  <c r="H50" i="1" s="1"/>
  <c r="F49" i="1"/>
  <c r="H49" i="1" s="1"/>
  <c r="D49" i="1"/>
  <c r="D48" i="1"/>
  <c r="F48" i="1" s="1"/>
  <c r="H48" i="1" s="1"/>
  <c r="D47" i="1"/>
  <c r="F47" i="1" s="1"/>
  <c r="H47" i="1" s="1"/>
  <c r="F46" i="1"/>
  <c r="H46" i="1" s="1"/>
  <c r="D46" i="1"/>
  <c r="F45" i="1"/>
  <c r="H45" i="1" s="1"/>
  <c r="D45" i="1"/>
  <c r="D44" i="1"/>
  <c r="F44" i="1" s="1"/>
  <c r="H44" i="1" s="1"/>
  <c r="D43" i="1"/>
  <c r="F43" i="1" s="1"/>
  <c r="H43" i="1" s="1"/>
  <c r="D42" i="1"/>
  <c r="F42" i="1" s="1"/>
  <c r="H42" i="1" s="1"/>
  <c r="F41" i="1"/>
  <c r="H41" i="1" s="1"/>
  <c r="D41" i="1"/>
  <c r="D40" i="1"/>
  <c r="F40" i="1" s="1"/>
  <c r="H40" i="1" s="1"/>
  <c r="D39" i="1"/>
  <c r="F39" i="1" s="1"/>
  <c r="H39" i="1" s="1"/>
  <c r="D38" i="1"/>
  <c r="F38" i="1" s="1"/>
  <c r="H38" i="1" s="1"/>
  <c r="D37" i="1"/>
  <c r="F37" i="1" s="1"/>
  <c r="H37" i="1" s="1"/>
  <c r="D36" i="1"/>
  <c r="F36" i="1" s="1"/>
  <c r="H36" i="1" s="1"/>
  <c r="K46" i="1"/>
  <c r="D35" i="1"/>
  <c r="F35" i="1" s="1"/>
  <c r="H35" i="1" s="1"/>
  <c r="D34" i="1"/>
  <c r="F34" i="1" s="1"/>
  <c r="H34" i="1" s="1"/>
  <c r="F33" i="1"/>
  <c r="H33" i="1" s="1"/>
  <c r="D33" i="1"/>
  <c r="D32" i="1"/>
  <c r="F32" i="1" s="1"/>
  <c r="H32" i="1" s="1"/>
  <c r="D31" i="1"/>
  <c r="F31" i="1" s="1"/>
  <c r="H31" i="1" s="1"/>
  <c r="D30" i="1"/>
  <c r="F30" i="1" s="1"/>
  <c r="H30" i="1" s="1"/>
  <c r="D29" i="1"/>
  <c r="F29" i="1" s="1"/>
  <c r="H29" i="1" s="1"/>
  <c r="D28" i="1"/>
  <c r="F28" i="1" s="1"/>
  <c r="H28" i="1" s="1"/>
  <c r="D27" i="1"/>
  <c r="F27" i="1" s="1"/>
  <c r="H27" i="1" s="1"/>
  <c r="D26" i="1"/>
  <c r="F26" i="1" s="1"/>
  <c r="H26" i="1" s="1"/>
  <c r="D25" i="1"/>
  <c r="F25" i="1" s="1"/>
  <c r="H25" i="1" s="1"/>
  <c r="D24" i="1"/>
  <c r="F24" i="1" s="1"/>
  <c r="H24" i="1" s="1"/>
  <c r="F23" i="1"/>
  <c r="H23" i="1" s="1"/>
  <c r="D23" i="1"/>
  <c r="D22" i="1"/>
  <c r="F22" i="1" s="1"/>
  <c r="H22" i="1" s="1"/>
  <c r="D21" i="1"/>
  <c r="F21" i="1" s="1"/>
  <c r="H21" i="1" s="1"/>
  <c r="D20" i="1"/>
  <c r="F20" i="1" s="1"/>
  <c r="H20" i="1" s="1"/>
  <c r="D19" i="1"/>
  <c r="F19" i="1" s="1"/>
  <c r="H19" i="1" s="1"/>
  <c r="D18" i="1"/>
  <c r="F18" i="1" s="1"/>
  <c r="H18" i="1" s="1"/>
  <c r="D17" i="1"/>
  <c r="F17" i="1" s="1"/>
  <c r="H17" i="1" s="1"/>
  <c r="D16" i="1"/>
  <c r="F16" i="1" s="1"/>
  <c r="H16" i="1" s="1"/>
  <c r="D15" i="1"/>
  <c r="F15" i="1" s="1"/>
  <c r="H15" i="1" s="1"/>
  <c r="F14" i="1"/>
  <c r="H14" i="1" s="1"/>
  <c r="D14" i="1"/>
  <c r="K13" i="1"/>
  <c r="K17" i="1" s="1"/>
  <c r="D13" i="1"/>
  <c r="F13" i="1" s="1"/>
  <c r="H13" i="1" s="1"/>
  <c r="D12" i="1"/>
  <c r="F12" i="1" s="1"/>
  <c r="H12" i="1" s="1"/>
  <c r="F11" i="1"/>
  <c r="H11" i="1" s="1"/>
  <c r="D11" i="1"/>
  <c r="D10" i="1"/>
  <c r="F10" i="1" s="1"/>
  <c r="H10" i="1" s="1"/>
  <c r="D9" i="1"/>
  <c r="F9" i="1" s="1"/>
  <c r="H9" i="1" s="1"/>
  <c r="D8" i="1"/>
  <c r="F8" i="1" s="1"/>
  <c r="H8" i="1" s="1"/>
  <c r="D7" i="1"/>
  <c r="F7" i="1" s="1"/>
  <c r="H7" i="1" s="1"/>
  <c r="D6" i="1"/>
  <c r="F6" i="1" s="1"/>
  <c r="H6" i="1" s="1"/>
  <c r="D5" i="1"/>
  <c r="F5" i="1" s="1"/>
  <c r="H5" i="1" s="1"/>
  <c r="H78" i="1" l="1"/>
  <c r="K23" i="1" s="1"/>
</calcChain>
</file>

<file path=xl/sharedStrings.xml><?xml version="1.0" encoding="utf-8"?>
<sst xmlns="http://schemas.openxmlformats.org/spreadsheetml/2006/main" count="709" uniqueCount="296">
  <si>
    <t>EMPLEADA:</t>
  </si>
  <si>
    <t>CAJA INICIAL</t>
  </si>
  <si>
    <t>Inv.</t>
  </si>
  <si>
    <t>Fabric.</t>
  </si>
  <si>
    <t>Venta</t>
  </si>
  <si>
    <t>Precio</t>
  </si>
  <si>
    <t>DIA:</t>
  </si>
  <si>
    <t>inicial</t>
  </si>
  <si>
    <t>Total</t>
  </si>
  <si>
    <t>Final</t>
  </si>
  <si>
    <t>Piezas</t>
  </si>
  <si>
    <t>Unidad</t>
  </si>
  <si>
    <t>GASTOS</t>
  </si>
  <si>
    <t>Abanicos</t>
  </si>
  <si>
    <t>Americanas</t>
  </si>
  <si>
    <t>Apastelado</t>
  </si>
  <si>
    <t>Banderillas y tornillos</t>
  </si>
  <si>
    <t>Barquillos</t>
  </si>
  <si>
    <t>Besos chantilly</t>
  </si>
  <si>
    <t>Besos  mantequilla</t>
  </si>
  <si>
    <t>Bigote chocolate</t>
  </si>
  <si>
    <t>Bisquets</t>
  </si>
  <si>
    <t>TOTAL GASTOS</t>
  </si>
  <si>
    <t>Bolas de berlin</t>
  </si>
  <si>
    <t>Castaña</t>
  </si>
  <si>
    <t>Campechana</t>
  </si>
  <si>
    <t>Chino</t>
  </si>
  <si>
    <t>CAJA PARCIAL</t>
  </si>
  <si>
    <t>Chocolatin</t>
  </si>
  <si>
    <t>Chocochispa</t>
  </si>
  <si>
    <t>Churros</t>
  </si>
  <si>
    <t>Concha Chocolate</t>
  </si>
  <si>
    <t>Concha Vainilla</t>
  </si>
  <si>
    <t>Concha gourmet</t>
  </si>
  <si>
    <t>VENTA NETA</t>
  </si>
  <si>
    <t>Concha rellena</t>
  </si>
  <si>
    <t>Condes</t>
  </si>
  <si>
    <t>Cuerno con higo</t>
  </si>
  <si>
    <t>Cuerno normal</t>
  </si>
  <si>
    <t>BILLETE</t>
  </si>
  <si>
    <t>Deliciosas</t>
  </si>
  <si>
    <t>Donas de azucar</t>
  </si>
  <si>
    <t>Donas de chocolate</t>
  </si>
  <si>
    <t>Donas de maple</t>
  </si>
  <si>
    <t>BOLSAS</t>
  </si>
  <si>
    <t>Dona de moka</t>
  </si>
  <si>
    <t>Empanadas de guisado</t>
  </si>
  <si>
    <t>Empanadas queso/fresa</t>
  </si>
  <si>
    <t>BAJAS DE PAN</t>
  </si>
  <si>
    <t>Galleta de Mantequilla</t>
  </si>
  <si>
    <t>Gendarmes</t>
  </si>
  <si>
    <t>Gelatina</t>
  </si>
  <si>
    <t>Marinas</t>
  </si>
  <si>
    <t>Integral</t>
  </si>
  <si>
    <t>Mil hojas</t>
  </si>
  <si>
    <t>Moños</t>
  </si>
  <si>
    <t>Mosaico</t>
  </si>
  <si>
    <t>Muffins</t>
  </si>
  <si>
    <t>Multi mantequilla</t>
  </si>
  <si>
    <t>Nidos</t>
  </si>
  <si>
    <t>Novias</t>
  </si>
  <si>
    <t>TOTAL BAJAS</t>
  </si>
  <si>
    <t>Orejas</t>
  </si>
  <si>
    <t>Pambazo de anis</t>
  </si>
  <si>
    <t>CONSUMO DE PAN</t>
  </si>
  <si>
    <t>Pambazo de grano</t>
  </si>
  <si>
    <t>Pan de canela</t>
  </si>
  <si>
    <t>Pan de manteca</t>
  </si>
  <si>
    <t>Panque grande</t>
  </si>
  <si>
    <t>Pasta seca</t>
  </si>
  <si>
    <t>Pay de queso</t>
  </si>
  <si>
    <t>Pay de queso con chocolate</t>
  </si>
  <si>
    <t>Piedra</t>
  </si>
  <si>
    <t>Polvoron de chocolate</t>
  </si>
  <si>
    <t>Polvorones</t>
  </si>
  <si>
    <t>TOTAL CONSUMO DE PAN</t>
  </si>
  <si>
    <t>Polvorones de cacahuate</t>
  </si>
  <si>
    <t>TRASPASOS</t>
  </si>
  <si>
    <t>Rebanada de pastel de chocolate</t>
  </si>
  <si>
    <t>Rebanada de limon</t>
  </si>
  <si>
    <t>Rebanadas</t>
  </si>
  <si>
    <t>Rieles</t>
  </si>
  <si>
    <t>Roles</t>
  </si>
  <si>
    <t>Rollos</t>
  </si>
  <si>
    <t>Teleras</t>
  </si>
  <si>
    <t>Tostada</t>
  </si>
  <si>
    <t>Baguettin</t>
  </si>
  <si>
    <t>TOTAL DE TRASPASOS</t>
  </si>
  <si>
    <t>TOTAL DE CONSUMOS</t>
  </si>
  <si>
    <t>BAJAS Y TRASPASO</t>
  </si>
  <si>
    <t>TOTAL</t>
  </si>
  <si>
    <t>CAJA FINAL</t>
  </si>
  <si>
    <t>COMPRAS DE MATERIA  POR DIA</t>
  </si>
  <si>
    <t>LUNES</t>
  </si>
  <si>
    <t xml:space="preserve">MATERIA PRIMA </t>
  </si>
  <si>
    <t>MATERIA PRIMA POR DIA</t>
  </si>
  <si>
    <t>PRODUCTO DE EMPAQUE</t>
  </si>
  <si>
    <t>CANTIDAD</t>
  </si>
  <si>
    <t>PRODUCTO</t>
  </si>
  <si>
    <t>PRECIO</t>
  </si>
  <si>
    <t>PESO</t>
  </si>
  <si>
    <t>PRECIO /U</t>
  </si>
  <si>
    <t>SAL</t>
  </si>
  <si>
    <t>FECHA: MIERCOLES</t>
  </si>
  <si>
    <t>MAICENA</t>
  </si>
  <si>
    <t>FECHA: JUEVES 17 JULIO</t>
  </si>
  <si>
    <t>CREMA DE CACAHUATE</t>
  </si>
  <si>
    <t>GUANTES</t>
  </si>
  <si>
    <t>BOLSA PAPEL#35</t>
  </si>
  <si>
    <t>BRILLO</t>
  </si>
  <si>
    <t>BOLSA PAPEL #14</t>
  </si>
  <si>
    <t>VAINILLA</t>
  </si>
  <si>
    <t>CAJAS DE NUTRILECHE</t>
  </si>
  <si>
    <t>GRANILLO CHOCO</t>
  </si>
  <si>
    <t>MANTEQUILLAS</t>
  </si>
  <si>
    <t>MARGARINA ROJA</t>
  </si>
  <si>
    <t>MARGARINA AZUL</t>
  </si>
  <si>
    <t>MARGARINA VERDE</t>
  </si>
  <si>
    <t>UNTARELLA</t>
  </si>
  <si>
    <t>CHANTILLY</t>
  </si>
  <si>
    <t>CREMAS DE VAINILLA</t>
  </si>
  <si>
    <t>FECHA: VIERNES</t>
  </si>
  <si>
    <t>FECHA: SABADO</t>
  </si>
  <si>
    <t xml:space="preserve"> </t>
  </si>
  <si>
    <t>CASTELLS</t>
  </si>
  <si>
    <t>FECHA: DOMINGO</t>
  </si>
  <si>
    <t>NOMINA DE PANADERIA SANTA BARBARITA DEL MES DE JULIO</t>
  </si>
  <si>
    <t>REGISTRO DE NOMINA POR SEMANA</t>
  </si>
  <si>
    <t>SEMANA DEL 14 AL 21 DE JULIO     2025</t>
  </si>
  <si>
    <t>NOMBRE</t>
  </si>
  <si>
    <t>PRESTAMOS</t>
  </si>
  <si>
    <t>SEGURO</t>
  </si>
  <si>
    <t>SUELDO</t>
  </si>
  <si>
    <t>PAGO NETO</t>
  </si>
  <si>
    <t>CUBRIERON DESCANSOS</t>
  </si>
  <si>
    <t>DIAS</t>
  </si>
  <si>
    <t>NONTO</t>
  </si>
  <si>
    <t>ABIGAHIL</t>
  </si>
  <si>
    <t>ARACELI</t>
  </si>
  <si>
    <t>ARLETH</t>
  </si>
  <si>
    <t>SANTA</t>
  </si>
  <si>
    <t>S.MATUTINO</t>
  </si>
  <si>
    <t>BARBARA</t>
  </si>
  <si>
    <t>CONTADOR</t>
  </si>
  <si>
    <t>DANIELA</t>
  </si>
  <si>
    <t>DARIO</t>
  </si>
  <si>
    <t>FELIPE</t>
  </si>
  <si>
    <t>ISABEL</t>
  </si>
  <si>
    <t xml:space="preserve">KARINA </t>
  </si>
  <si>
    <t>QUINTA</t>
  </si>
  <si>
    <t>Q.MATUTINO</t>
  </si>
  <si>
    <t>NORBERTO</t>
  </si>
  <si>
    <t>NORMA</t>
  </si>
  <si>
    <t>REFUGIO</t>
  </si>
  <si>
    <t>SAMANTHA</t>
  </si>
  <si>
    <t>TENANCINGO</t>
  </si>
  <si>
    <t>T.MATUTINO</t>
  </si>
  <si>
    <t>SANDRA</t>
  </si>
  <si>
    <t>SRA.ROSY</t>
  </si>
  <si>
    <t>SEÑORA ROSY</t>
  </si>
  <si>
    <t>Masa</t>
  </si>
  <si>
    <t xml:space="preserve">Danes </t>
  </si>
  <si>
    <t>Variedad</t>
  </si>
  <si>
    <t>piezas</t>
  </si>
  <si>
    <t>precio</t>
  </si>
  <si>
    <t>costo</t>
  </si>
  <si>
    <t>Cuerno Norm</t>
  </si>
  <si>
    <t>Bigote choco</t>
  </si>
  <si>
    <t>Cuerno higo</t>
  </si>
  <si>
    <t>roles</t>
  </si>
  <si>
    <t>Chocolatín</t>
  </si>
  <si>
    <t>Biscocho</t>
  </si>
  <si>
    <t>Conchas</t>
  </si>
  <si>
    <t>canela</t>
  </si>
  <si>
    <t>barra</t>
  </si>
  <si>
    <t>tostadas</t>
  </si>
  <si>
    <t>cuellos</t>
  </si>
  <si>
    <t>Feité</t>
  </si>
  <si>
    <t xml:space="preserve">Nido </t>
  </si>
  <si>
    <t>Barquillo</t>
  </si>
  <si>
    <t>Riel</t>
  </si>
  <si>
    <t>rollos</t>
  </si>
  <si>
    <t>Abánicos</t>
  </si>
  <si>
    <t>FECHA: 21 de Julio</t>
  </si>
  <si>
    <t>TURNO: Matutino</t>
  </si>
  <si>
    <t>Besos</t>
  </si>
  <si>
    <t>besos</t>
  </si>
  <si>
    <t>Galleta vainilla</t>
  </si>
  <si>
    <t>Gendarme</t>
  </si>
  <si>
    <t>Chochispas</t>
  </si>
  <si>
    <t>Multi</t>
  </si>
  <si>
    <t>Deliciosa</t>
  </si>
  <si>
    <t>deliciosa</t>
  </si>
  <si>
    <t>Pay de Queso</t>
  </si>
  <si>
    <t>cubilete</t>
  </si>
  <si>
    <t>cubilete choco</t>
  </si>
  <si>
    <t>Pan de Manteca</t>
  </si>
  <si>
    <t>Rejas</t>
  </si>
  <si>
    <t>Pan de blanco</t>
  </si>
  <si>
    <t>Baguette</t>
  </si>
  <si>
    <t>Kg de Harina</t>
  </si>
  <si>
    <t>Nutellas</t>
  </si>
  <si>
    <t>bolsa #8</t>
  </si>
  <si>
    <t>Crema cacahuate</t>
  </si>
  <si>
    <t>bolsa 60X90</t>
  </si>
  <si>
    <t>Az. Glass</t>
  </si>
  <si>
    <t>Cob. Maple</t>
  </si>
  <si>
    <t>Pasas</t>
  </si>
  <si>
    <t>Quesos</t>
  </si>
  <si>
    <t>PRECIO/Kg</t>
  </si>
  <si>
    <t>21 de Julio</t>
  </si>
  <si>
    <t>|</t>
  </si>
  <si>
    <t>Dedos Novia</t>
  </si>
  <si>
    <t>Pan Zanahoria</t>
  </si>
  <si>
    <t>20 Churros</t>
  </si>
  <si>
    <t>PAGO DE TARJETA</t>
  </si>
  <si>
    <t>Dona</t>
  </si>
  <si>
    <t>Dona choco</t>
  </si>
  <si>
    <t>Pago semana Araceli</t>
  </si>
  <si>
    <t>Adelanto Abi</t>
  </si>
  <si>
    <t>Castañas</t>
  </si>
  <si>
    <t xml:space="preserve"> Bisquettes</t>
  </si>
  <si>
    <t>Galleta Mantequilla</t>
  </si>
  <si>
    <t>Bolillo</t>
  </si>
  <si>
    <t>Dedo de Novia</t>
  </si>
  <si>
    <t>Bigote</t>
  </si>
  <si>
    <t>Descuento Abi</t>
  </si>
  <si>
    <t>Deben Pan</t>
  </si>
  <si>
    <t>día</t>
  </si>
  <si>
    <t>Monto</t>
  </si>
  <si>
    <t>Norma</t>
  </si>
  <si>
    <t>Prestamo</t>
  </si>
  <si>
    <t>Abi</t>
  </si>
  <si>
    <t>dia</t>
  </si>
  <si>
    <t>Relleconchas</t>
  </si>
  <si>
    <t>integral</t>
  </si>
  <si>
    <t>Azúcar</t>
  </si>
  <si>
    <t>Chocolate</t>
  </si>
  <si>
    <t>campechan</t>
  </si>
  <si>
    <t>Galleta Mant.</t>
  </si>
  <si>
    <t>G-Mantequi</t>
  </si>
  <si>
    <t>Polvoron Ca</t>
  </si>
  <si>
    <t>Polvorón ca</t>
  </si>
  <si>
    <t>Telera</t>
  </si>
  <si>
    <t>Empanadas</t>
  </si>
  <si>
    <t>minirellena</t>
  </si>
  <si>
    <t>Apastelada</t>
  </si>
  <si>
    <t>bisquets</t>
  </si>
  <si>
    <t>FECHA:MARTES 22/07/2025</t>
  </si>
  <si>
    <t>1 caja</t>
  </si>
  <si>
    <t>manteca Sta.</t>
  </si>
  <si>
    <t>PRECIO/kg</t>
  </si>
  <si>
    <t>botella</t>
  </si>
  <si>
    <t>nutella</t>
  </si>
  <si>
    <t>tubo</t>
  </si>
  <si>
    <t>capacillo muf</t>
  </si>
  <si>
    <t>bolsa</t>
  </si>
  <si>
    <t>az. Glass</t>
  </si>
  <si>
    <t>mangas</t>
  </si>
  <si>
    <t>piña</t>
  </si>
  <si>
    <t>zarzamora</t>
  </si>
  <si>
    <t>bote</t>
  </si>
  <si>
    <t>crema de ca</t>
  </si>
  <si>
    <t>caja</t>
  </si>
  <si>
    <t>guantes des</t>
  </si>
  <si>
    <t>salvado</t>
  </si>
  <si>
    <t>ajonjolí mor</t>
  </si>
  <si>
    <t>canela moli</t>
  </si>
  <si>
    <t>cubeta</t>
  </si>
  <si>
    <t>Higo</t>
  </si>
  <si>
    <t>choco semi</t>
  </si>
  <si>
    <t>Queso</t>
  </si>
  <si>
    <t>día  lunes 21 de julio</t>
  </si>
  <si>
    <t>día martes  22 de julio</t>
  </si>
  <si>
    <t>día miercoles 23 de julio</t>
  </si>
  <si>
    <t>día jueves  24 de julio</t>
  </si>
  <si>
    <t>chocolate</t>
  </si>
  <si>
    <t>Pan manteca</t>
  </si>
  <si>
    <t>manteca</t>
  </si>
  <si>
    <t>pasta seca</t>
  </si>
  <si>
    <t>rebanada ch</t>
  </si>
  <si>
    <t>Polvoron sevillano</t>
  </si>
  <si>
    <t>polvorón se</t>
  </si>
  <si>
    <t>día viernes 25 de julio</t>
  </si>
  <si>
    <t>campechana</t>
  </si>
  <si>
    <t>Galleta Vainilla</t>
  </si>
  <si>
    <t>Chocochispas</t>
  </si>
  <si>
    <t>Galleta mant</t>
  </si>
  <si>
    <t>g. mantequ</t>
  </si>
  <si>
    <t>Polvorón Amarillo</t>
  </si>
  <si>
    <t>polvorón am</t>
  </si>
  <si>
    <t>día Sábado 26 de julio</t>
  </si>
  <si>
    <t>día Domingo 27 de julio</t>
  </si>
  <si>
    <t>rejas</t>
  </si>
  <si>
    <t>Total de producción</t>
  </si>
  <si>
    <t>Promedio X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</si>
</sst>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BFF6-E059-4653-B85C-94DE891AB3A8}">
  <dimension ref="A2:N78"/>
  <sheetViews>
    <sheetView topLeftCell="A40" workbookViewId="0">
      <selection activeCell="A59" sqref="A59"/>
    </sheetView>
  </sheetViews>
  <sheetFormatPr baseColWidth="10" defaultRowHeight="15" x14ac:dyDescent="0.25"/>
  <cols>
    <col min="10" max="10" width="23.7109375" bestFit="1" customWidth="1"/>
    <col min="11" max="11" width="11.85546875" bestFit="1" customWidth="1"/>
  </cols>
  <sheetData>
    <row r="2" spans="1:14" x14ac:dyDescent="0.25">
      <c r="A2" t="s">
        <v>183</v>
      </c>
      <c r="C2" t="s">
        <v>0</v>
      </c>
      <c r="J2" t="s">
        <v>1</v>
      </c>
      <c r="K2">
        <v>344</v>
      </c>
    </row>
    <row r="3" spans="1:14" x14ac:dyDescent="0.25">
      <c r="A3" t="s">
        <v>184</v>
      </c>
      <c r="B3" t="s">
        <v>2</v>
      </c>
      <c r="C3" t="s">
        <v>3</v>
      </c>
      <c r="D3" t="s">
        <v>2</v>
      </c>
      <c r="E3" t="s">
        <v>2</v>
      </c>
      <c r="F3" t="s">
        <v>4</v>
      </c>
      <c r="G3" t="s">
        <v>5</v>
      </c>
      <c r="H3" t="s">
        <v>4</v>
      </c>
    </row>
    <row r="4" spans="1:14" x14ac:dyDescent="0.25">
      <c r="A4" t="s">
        <v>6</v>
      </c>
      <c r="B4" t="s">
        <v>7</v>
      </c>
      <c r="D4" t="s">
        <v>8</v>
      </c>
      <c r="E4" t="s">
        <v>9</v>
      </c>
      <c r="F4" t="s">
        <v>10</v>
      </c>
      <c r="G4" t="s">
        <v>11</v>
      </c>
      <c r="J4" t="s">
        <v>12</v>
      </c>
      <c r="K4" t="s">
        <v>123</v>
      </c>
    </row>
    <row r="5" spans="1:14" x14ac:dyDescent="0.25">
      <c r="A5" t="s">
        <v>13</v>
      </c>
      <c r="B5">
        <v>10</v>
      </c>
      <c r="D5">
        <f>B5+C5</f>
        <v>10</v>
      </c>
      <c r="E5">
        <v>2</v>
      </c>
      <c r="F5">
        <f>D5-E5</f>
        <v>8</v>
      </c>
      <c r="G5">
        <v>14</v>
      </c>
      <c r="H5">
        <f>F5*G5</f>
        <v>112</v>
      </c>
      <c r="J5" t="s">
        <v>214</v>
      </c>
      <c r="K5">
        <v>60</v>
      </c>
    </row>
    <row r="6" spans="1:14" x14ac:dyDescent="0.25">
      <c r="A6" t="s">
        <v>14</v>
      </c>
      <c r="B6">
        <v>0</v>
      </c>
      <c r="D6">
        <f t="shared" ref="D6:D69" si="0">B6+C6</f>
        <v>0</v>
      </c>
      <c r="E6">
        <v>0</v>
      </c>
      <c r="F6">
        <f t="shared" ref="F6:F70" si="1">D6-E6</f>
        <v>0</v>
      </c>
      <c r="G6">
        <v>14</v>
      </c>
      <c r="H6">
        <f t="shared" ref="H6:H70" si="2">F6*G6</f>
        <v>0</v>
      </c>
    </row>
    <row r="7" spans="1:14" x14ac:dyDescent="0.25">
      <c r="A7" t="s">
        <v>15</v>
      </c>
      <c r="B7">
        <v>17</v>
      </c>
      <c r="D7">
        <f t="shared" si="0"/>
        <v>17</v>
      </c>
      <c r="E7">
        <v>12</v>
      </c>
      <c r="F7">
        <f t="shared" si="1"/>
        <v>5</v>
      </c>
      <c r="G7">
        <v>12</v>
      </c>
      <c r="H7">
        <f t="shared" si="2"/>
        <v>60</v>
      </c>
    </row>
    <row r="8" spans="1:14" x14ac:dyDescent="0.25">
      <c r="A8" t="s">
        <v>16</v>
      </c>
      <c r="B8">
        <v>0</v>
      </c>
      <c r="D8">
        <f t="shared" si="0"/>
        <v>0</v>
      </c>
      <c r="E8">
        <v>0</v>
      </c>
      <c r="F8">
        <f t="shared" si="1"/>
        <v>0</v>
      </c>
      <c r="G8">
        <v>12</v>
      </c>
      <c r="H8">
        <f t="shared" si="2"/>
        <v>0</v>
      </c>
    </row>
    <row r="9" spans="1:14" x14ac:dyDescent="0.25">
      <c r="A9" t="s">
        <v>17</v>
      </c>
      <c r="B9">
        <v>5</v>
      </c>
      <c r="D9">
        <f t="shared" si="0"/>
        <v>5</v>
      </c>
      <c r="E9">
        <v>5</v>
      </c>
      <c r="F9">
        <f t="shared" si="1"/>
        <v>0</v>
      </c>
      <c r="G9">
        <v>15</v>
      </c>
      <c r="H9">
        <f t="shared" si="2"/>
        <v>0</v>
      </c>
    </row>
    <row r="10" spans="1:14" x14ac:dyDescent="0.25">
      <c r="A10" t="s">
        <v>18</v>
      </c>
      <c r="B10">
        <v>7</v>
      </c>
      <c r="D10">
        <f t="shared" si="0"/>
        <v>7</v>
      </c>
      <c r="E10">
        <v>4</v>
      </c>
      <c r="F10">
        <f t="shared" si="1"/>
        <v>3</v>
      </c>
      <c r="G10">
        <v>14</v>
      </c>
      <c r="H10">
        <f t="shared" si="2"/>
        <v>42</v>
      </c>
    </row>
    <row r="11" spans="1:14" x14ac:dyDescent="0.25">
      <c r="A11" t="s">
        <v>19</v>
      </c>
      <c r="B11">
        <v>0</v>
      </c>
      <c r="D11">
        <f t="shared" si="0"/>
        <v>0</v>
      </c>
      <c r="E11">
        <v>0</v>
      </c>
      <c r="F11">
        <f t="shared" si="1"/>
        <v>0</v>
      </c>
      <c r="G11">
        <v>17</v>
      </c>
      <c r="H11">
        <f t="shared" si="2"/>
        <v>0</v>
      </c>
    </row>
    <row r="12" spans="1:14" x14ac:dyDescent="0.25">
      <c r="A12" t="s">
        <v>20</v>
      </c>
      <c r="B12">
        <v>23</v>
      </c>
      <c r="C12">
        <v>3</v>
      </c>
      <c r="D12">
        <f t="shared" si="0"/>
        <v>26</v>
      </c>
      <c r="E12">
        <v>6</v>
      </c>
      <c r="F12">
        <f t="shared" si="1"/>
        <v>20</v>
      </c>
      <c r="G12">
        <v>15</v>
      </c>
      <c r="H12">
        <f t="shared" si="2"/>
        <v>300</v>
      </c>
    </row>
    <row r="13" spans="1:14" x14ac:dyDescent="0.25">
      <c r="A13" t="s">
        <v>21</v>
      </c>
      <c r="B13">
        <v>3</v>
      </c>
      <c r="D13">
        <f t="shared" si="0"/>
        <v>3</v>
      </c>
      <c r="E13">
        <v>0</v>
      </c>
      <c r="F13">
        <f t="shared" si="1"/>
        <v>3</v>
      </c>
      <c r="G13">
        <v>13</v>
      </c>
      <c r="H13">
        <f t="shared" si="2"/>
        <v>39</v>
      </c>
      <c r="J13" t="s">
        <v>22</v>
      </c>
      <c r="K13">
        <f>K5+K6+K7+K8+K9+K10+K11+K12</f>
        <v>60</v>
      </c>
      <c r="N13" t="s">
        <v>211</v>
      </c>
    </row>
    <row r="14" spans="1:14" x14ac:dyDescent="0.25">
      <c r="A14" t="s">
        <v>23</v>
      </c>
      <c r="B14">
        <v>0</v>
      </c>
      <c r="D14">
        <f t="shared" si="0"/>
        <v>0</v>
      </c>
      <c r="E14">
        <v>0</v>
      </c>
      <c r="F14">
        <f t="shared" si="1"/>
        <v>0</v>
      </c>
      <c r="G14">
        <v>18</v>
      </c>
      <c r="H14">
        <f t="shared" si="2"/>
        <v>0</v>
      </c>
    </row>
    <row r="15" spans="1:14" x14ac:dyDescent="0.25">
      <c r="A15" t="s">
        <v>24</v>
      </c>
      <c r="B15">
        <v>3</v>
      </c>
      <c r="D15">
        <f t="shared" si="0"/>
        <v>3</v>
      </c>
      <c r="E15">
        <v>0</v>
      </c>
      <c r="F15">
        <f t="shared" si="1"/>
        <v>3</v>
      </c>
      <c r="G15">
        <v>14</v>
      </c>
      <c r="H15">
        <f t="shared" si="2"/>
        <v>42</v>
      </c>
    </row>
    <row r="16" spans="1:14" x14ac:dyDescent="0.25">
      <c r="A16" t="s">
        <v>25</v>
      </c>
      <c r="B16">
        <v>20</v>
      </c>
      <c r="D16">
        <f t="shared" si="0"/>
        <v>20</v>
      </c>
      <c r="E16">
        <v>8</v>
      </c>
      <c r="F16">
        <f t="shared" si="1"/>
        <v>12</v>
      </c>
      <c r="G16">
        <v>12</v>
      </c>
      <c r="H16">
        <f t="shared" si="2"/>
        <v>144</v>
      </c>
    </row>
    <row r="17" spans="1:11" x14ac:dyDescent="0.25">
      <c r="A17" t="s">
        <v>26</v>
      </c>
      <c r="B17">
        <v>2</v>
      </c>
      <c r="D17">
        <f t="shared" si="0"/>
        <v>2</v>
      </c>
      <c r="E17">
        <v>1</v>
      </c>
      <c r="F17">
        <f t="shared" si="1"/>
        <v>1</v>
      </c>
      <c r="G17">
        <v>16</v>
      </c>
      <c r="H17">
        <f t="shared" si="2"/>
        <v>16</v>
      </c>
      <c r="J17" t="s">
        <v>27</v>
      </c>
      <c r="K17">
        <f>K2-K13</f>
        <v>284</v>
      </c>
    </row>
    <row r="18" spans="1:11" x14ac:dyDescent="0.25">
      <c r="A18" t="s">
        <v>28</v>
      </c>
      <c r="B18">
        <v>3</v>
      </c>
      <c r="D18">
        <f t="shared" si="0"/>
        <v>3</v>
      </c>
      <c r="E18">
        <v>0</v>
      </c>
      <c r="F18">
        <f t="shared" si="1"/>
        <v>3</v>
      </c>
      <c r="G18">
        <v>15</v>
      </c>
      <c r="H18">
        <f t="shared" si="2"/>
        <v>45</v>
      </c>
    </row>
    <row r="19" spans="1:11" x14ac:dyDescent="0.25">
      <c r="A19" t="s">
        <v>29</v>
      </c>
      <c r="B19">
        <v>16</v>
      </c>
      <c r="D19">
        <f t="shared" si="0"/>
        <v>16</v>
      </c>
      <c r="E19">
        <v>9</v>
      </c>
      <c r="F19">
        <f t="shared" si="1"/>
        <v>7</v>
      </c>
      <c r="G19">
        <v>13</v>
      </c>
      <c r="H19">
        <f t="shared" si="2"/>
        <v>91</v>
      </c>
    </row>
    <row r="20" spans="1:11" x14ac:dyDescent="0.25">
      <c r="A20" t="s">
        <v>30</v>
      </c>
      <c r="B20">
        <v>0</v>
      </c>
      <c r="C20">
        <v>20</v>
      </c>
      <c r="D20">
        <f t="shared" si="0"/>
        <v>20</v>
      </c>
      <c r="E20">
        <v>11</v>
      </c>
      <c r="F20">
        <f t="shared" si="1"/>
        <v>9</v>
      </c>
      <c r="G20">
        <v>6</v>
      </c>
      <c r="H20">
        <f t="shared" si="2"/>
        <v>54</v>
      </c>
    </row>
    <row r="21" spans="1:11" x14ac:dyDescent="0.25">
      <c r="A21" t="s">
        <v>31</v>
      </c>
      <c r="B21">
        <v>10</v>
      </c>
      <c r="C21">
        <v>6</v>
      </c>
      <c r="D21">
        <f t="shared" si="0"/>
        <v>16</v>
      </c>
      <c r="E21">
        <v>4</v>
      </c>
      <c r="F21">
        <f t="shared" si="1"/>
        <v>12</v>
      </c>
      <c r="G21">
        <v>12</v>
      </c>
      <c r="H21">
        <f t="shared" si="2"/>
        <v>144</v>
      </c>
    </row>
    <row r="22" spans="1:11" x14ac:dyDescent="0.25">
      <c r="A22" t="s">
        <v>32</v>
      </c>
      <c r="B22">
        <v>17</v>
      </c>
      <c r="C22">
        <v>6</v>
      </c>
      <c r="D22">
        <f t="shared" si="0"/>
        <v>23</v>
      </c>
      <c r="E22">
        <v>14</v>
      </c>
      <c r="F22">
        <f t="shared" si="1"/>
        <v>9</v>
      </c>
      <c r="G22">
        <v>12</v>
      </c>
      <c r="H22">
        <f t="shared" si="2"/>
        <v>108</v>
      </c>
    </row>
    <row r="23" spans="1:11" x14ac:dyDescent="0.25">
      <c r="A23" t="s">
        <v>33</v>
      </c>
      <c r="B23">
        <v>0</v>
      </c>
      <c r="D23">
        <f t="shared" si="0"/>
        <v>0</v>
      </c>
      <c r="E23">
        <v>0</v>
      </c>
      <c r="F23">
        <f t="shared" si="1"/>
        <v>0</v>
      </c>
      <c r="G23">
        <v>16</v>
      </c>
      <c r="H23">
        <f t="shared" si="2"/>
        <v>0</v>
      </c>
      <c r="J23" t="s">
        <v>34</v>
      </c>
      <c r="K23">
        <f>H78+K17</f>
        <v>3688</v>
      </c>
    </row>
    <row r="24" spans="1:11" x14ac:dyDescent="0.25">
      <c r="A24" t="s">
        <v>35</v>
      </c>
      <c r="B24">
        <v>3</v>
      </c>
      <c r="D24">
        <f t="shared" si="0"/>
        <v>3</v>
      </c>
      <c r="E24">
        <v>1</v>
      </c>
      <c r="F24">
        <f t="shared" si="1"/>
        <v>2</v>
      </c>
      <c r="G24">
        <v>16</v>
      </c>
      <c r="H24">
        <f t="shared" si="2"/>
        <v>32</v>
      </c>
      <c r="J24" t="s">
        <v>218</v>
      </c>
      <c r="K24">
        <v>2577</v>
      </c>
    </row>
    <row r="25" spans="1:11" x14ac:dyDescent="0.25">
      <c r="A25" t="s">
        <v>36</v>
      </c>
      <c r="B25">
        <v>0</v>
      </c>
      <c r="D25">
        <f t="shared" si="0"/>
        <v>0</v>
      </c>
      <c r="E25">
        <v>0</v>
      </c>
      <c r="F25">
        <f t="shared" si="1"/>
        <v>0</v>
      </c>
      <c r="G25">
        <v>13</v>
      </c>
      <c r="H25">
        <f t="shared" si="2"/>
        <v>0</v>
      </c>
      <c r="J25" t="s">
        <v>219</v>
      </c>
      <c r="K25">
        <v>300</v>
      </c>
    </row>
    <row r="26" spans="1:11" x14ac:dyDescent="0.25">
      <c r="A26" t="s">
        <v>37</v>
      </c>
      <c r="B26">
        <v>5</v>
      </c>
      <c r="D26">
        <f t="shared" si="0"/>
        <v>5</v>
      </c>
      <c r="E26">
        <v>3</v>
      </c>
      <c r="F26">
        <f t="shared" si="1"/>
        <v>2</v>
      </c>
      <c r="G26">
        <v>15</v>
      </c>
      <c r="H26">
        <f t="shared" si="2"/>
        <v>30</v>
      </c>
      <c r="K26" t="e">
        <f>K23-K24-K28K25</f>
        <v>#NAME?</v>
      </c>
    </row>
    <row r="27" spans="1:11" x14ac:dyDescent="0.25">
      <c r="A27" t="s">
        <v>38</v>
      </c>
      <c r="B27">
        <v>20</v>
      </c>
      <c r="D27">
        <f t="shared" si="0"/>
        <v>20</v>
      </c>
      <c r="E27">
        <v>6</v>
      </c>
      <c r="F27">
        <f t="shared" si="1"/>
        <v>14</v>
      </c>
      <c r="G27">
        <v>12</v>
      </c>
      <c r="H27">
        <f t="shared" si="2"/>
        <v>168</v>
      </c>
      <c r="J27" t="s">
        <v>39</v>
      </c>
      <c r="K27">
        <v>150</v>
      </c>
    </row>
    <row r="28" spans="1:11" x14ac:dyDescent="0.25">
      <c r="A28" t="s">
        <v>40</v>
      </c>
      <c r="B28">
        <v>14</v>
      </c>
      <c r="D28">
        <f t="shared" si="0"/>
        <v>14</v>
      </c>
      <c r="E28">
        <v>7</v>
      </c>
      <c r="F28">
        <f t="shared" si="1"/>
        <v>7</v>
      </c>
      <c r="G28">
        <v>15</v>
      </c>
      <c r="H28">
        <f t="shared" si="2"/>
        <v>105</v>
      </c>
      <c r="J28" t="s">
        <v>215</v>
      </c>
    </row>
    <row r="29" spans="1:11" x14ac:dyDescent="0.25">
      <c r="A29" t="s">
        <v>41</v>
      </c>
      <c r="B29">
        <v>1</v>
      </c>
      <c r="D29">
        <f t="shared" si="0"/>
        <v>1</v>
      </c>
      <c r="E29">
        <v>0</v>
      </c>
      <c r="F29">
        <f t="shared" si="1"/>
        <v>1</v>
      </c>
      <c r="G29">
        <v>13</v>
      </c>
      <c r="H29">
        <f t="shared" si="2"/>
        <v>13</v>
      </c>
    </row>
    <row r="30" spans="1:11" x14ac:dyDescent="0.25">
      <c r="A30" t="s">
        <v>42</v>
      </c>
      <c r="B30">
        <v>12</v>
      </c>
      <c r="D30">
        <f t="shared" si="0"/>
        <v>12</v>
      </c>
      <c r="E30">
        <v>1</v>
      </c>
      <c r="F30">
        <f t="shared" si="1"/>
        <v>11</v>
      </c>
      <c r="G30">
        <v>14</v>
      </c>
      <c r="H30">
        <f t="shared" si="2"/>
        <v>154</v>
      </c>
    </row>
    <row r="31" spans="1:11" x14ac:dyDescent="0.25">
      <c r="A31" t="s">
        <v>43</v>
      </c>
      <c r="B31">
        <v>0</v>
      </c>
      <c r="D31">
        <f t="shared" si="0"/>
        <v>0</v>
      </c>
      <c r="E31">
        <v>0</v>
      </c>
      <c r="F31">
        <f t="shared" si="1"/>
        <v>0</v>
      </c>
      <c r="G31">
        <v>14</v>
      </c>
      <c r="H31">
        <f t="shared" si="2"/>
        <v>0</v>
      </c>
      <c r="J31" t="s">
        <v>44</v>
      </c>
      <c r="K31">
        <f>K23+K74-H78</f>
        <v>284</v>
      </c>
    </row>
    <row r="32" spans="1:11" x14ac:dyDescent="0.25">
      <c r="A32" t="s">
        <v>45</v>
      </c>
      <c r="B32">
        <v>0</v>
      </c>
      <c r="D32">
        <f t="shared" si="0"/>
        <v>0</v>
      </c>
      <c r="E32">
        <v>0</v>
      </c>
      <c r="F32">
        <f t="shared" si="1"/>
        <v>0</v>
      </c>
      <c r="G32">
        <v>14</v>
      </c>
      <c r="H32">
        <f t="shared" si="2"/>
        <v>0</v>
      </c>
    </row>
    <row r="33" spans="1:12" x14ac:dyDescent="0.25">
      <c r="A33" t="s">
        <v>46</v>
      </c>
      <c r="B33">
        <v>0</v>
      </c>
      <c r="D33">
        <f t="shared" si="0"/>
        <v>0</v>
      </c>
      <c r="E33">
        <v>0</v>
      </c>
      <c r="F33">
        <f t="shared" si="1"/>
        <v>0</v>
      </c>
      <c r="G33">
        <v>25</v>
      </c>
      <c r="H33">
        <f t="shared" si="2"/>
        <v>0</v>
      </c>
    </row>
    <row r="34" spans="1:12" x14ac:dyDescent="0.25">
      <c r="A34" t="s">
        <v>47</v>
      </c>
      <c r="B34">
        <v>6</v>
      </c>
      <c r="D34">
        <f t="shared" si="0"/>
        <v>6</v>
      </c>
      <c r="E34">
        <v>4</v>
      </c>
      <c r="F34">
        <f t="shared" si="1"/>
        <v>2</v>
      </c>
      <c r="G34">
        <v>20</v>
      </c>
      <c r="H34">
        <f t="shared" si="2"/>
        <v>40</v>
      </c>
      <c r="J34" t="s">
        <v>48</v>
      </c>
    </row>
    <row r="35" spans="1:12" x14ac:dyDescent="0.25">
      <c r="A35" t="s">
        <v>49</v>
      </c>
      <c r="B35">
        <v>8</v>
      </c>
      <c r="D35">
        <f t="shared" si="0"/>
        <v>8</v>
      </c>
      <c r="E35">
        <v>7</v>
      </c>
      <c r="F35">
        <f t="shared" si="1"/>
        <v>1</v>
      </c>
      <c r="G35">
        <v>15</v>
      </c>
      <c r="H35">
        <f t="shared" si="2"/>
        <v>15</v>
      </c>
      <c r="I35">
        <v>3</v>
      </c>
      <c r="J35" t="s">
        <v>220</v>
      </c>
      <c r="K35">
        <v>12</v>
      </c>
      <c r="L35">
        <f>I35*K35</f>
        <v>36</v>
      </c>
    </row>
    <row r="36" spans="1:12" x14ac:dyDescent="0.25">
      <c r="A36" t="s">
        <v>50</v>
      </c>
      <c r="B36">
        <v>5</v>
      </c>
      <c r="D36">
        <f t="shared" si="0"/>
        <v>5</v>
      </c>
      <c r="E36">
        <v>0</v>
      </c>
      <c r="F36">
        <f t="shared" si="1"/>
        <v>5</v>
      </c>
      <c r="G36">
        <v>11</v>
      </c>
      <c r="H36">
        <f t="shared" si="2"/>
        <v>55</v>
      </c>
      <c r="I36">
        <v>3</v>
      </c>
      <c r="J36" t="s">
        <v>221</v>
      </c>
      <c r="K36">
        <v>13</v>
      </c>
      <c r="L36">
        <f t="shared" ref="L36:L37" si="3">I36*K36</f>
        <v>39</v>
      </c>
    </row>
    <row r="37" spans="1:12" x14ac:dyDescent="0.25">
      <c r="A37" t="s">
        <v>51</v>
      </c>
      <c r="B37">
        <v>18</v>
      </c>
      <c r="D37">
        <f t="shared" si="0"/>
        <v>18</v>
      </c>
      <c r="E37">
        <v>15</v>
      </c>
      <c r="F37">
        <f t="shared" si="1"/>
        <v>3</v>
      </c>
      <c r="G37">
        <v>18</v>
      </c>
      <c r="H37">
        <f t="shared" si="2"/>
        <v>54</v>
      </c>
      <c r="I37">
        <v>1</v>
      </c>
      <c r="J37" t="s">
        <v>222</v>
      </c>
      <c r="K37">
        <v>15</v>
      </c>
      <c r="L37">
        <f t="shared" si="3"/>
        <v>15</v>
      </c>
    </row>
    <row r="38" spans="1:12" x14ac:dyDescent="0.25">
      <c r="A38" t="s">
        <v>52</v>
      </c>
      <c r="B38">
        <v>1</v>
      </c>
      <c r="C38">
        <v>6</v>
      </c>
      <c r="D38">
        <f t="shared" si="0"/>
        <v>7</v>
      </c>
      <c r="E38">
        <v>6</v>
      </c>
      <c r="F38">
        <f t="shared" si="1"/>
        <v>1</v>
      </c>
      <c r="G38">
        <v>12</v>
      </c>
      <c r="H38">
        <f t="shared" si="2"/>
        <v>12</v>
      </c>
    </row>
    <row r="39" spans="1:12" x14ac:dyDescent="0.25">
      <c r="A39" t="s">
        <v>53</v>
      </c>
      <c r="B39">
        <v>17</v>
      </c>
      <c r="D39">
        <f t="shared" si="0"/>
        <v>17</v>
      </c>
      <c r="E39">
        <v>16</v>
      </c>
      <c r="F39">
        <f t="shared" si="1"/>
        <v>1</v>
      </c>
      <c r="G39">
        <v>9</v>
      </c>
      <c r="H39">
        <f t="shared" si="2"/>
        <v>9</v>
      </c>
    </row>
    <row r="40" spans="1:12" x14ac:dyDescent="0.25">
      <c r="A40" t="s">
        <v>54</v>
      </c>
      <c r="B40">
        <v>5</v>
      </c>
      <c r="D40">
        <f t="shared" si="0"/>
        <v>5</v>
      </c>
      <c r="E40">
        <v>3</v>
      </c>
      <c r="F40">
        <f t="shared" si="1"/>
        <v>2</v>
      </c>
      <c r="G40">
        <v>19</v>
      </c>
      <c r="H40">
        <f t="shared" si="2"/>
        <v>38</v>
      </c>
    </row>
    <row r="41" spans="1:12" x14ac:dyDescent="0.25">
      <c r="A41" t="s">
        <v>55</v>
      </c>
      <c r="B41">
        <v>0</v>
      </c>
      <c r="D41">
        <f t="shared" si="0"/>
        <v>0</v>
      </c>
      <c r="E41">
        <v>0</v>
      </c>
      <c r="F41">
        <f t="shared" si="1"/>
        <v>0</v>
      </c>
      <c r="G41">
        <v>13</v>
      </c>
      <c r="H41">
        <f t="shared" si="2"/>
        <v>0</v>
      </c>
    </row>
    <row r="42" spans="1:12" x14ac:dyDescent="0.25">
      <c r="A42" t="s">
        <v>56</v>
      </c>
      <c r="B42">
        <v>5</v>
      </c>
      <c r="D42">
        <f t="shared" si="0"/>
        <v>5</v>
      </c>
      <c r="E42">
        <v>2</v>
      </c>
      <c r="F42">
        <f t="shared" si="1"/>
        <v>3</v>
      </c>
      <c r="G42">
        <v>18</v>
      </c>
      <c r="H42">
        <f t="shared" si="2"/>
        <v>54</v>
      </c>
    </row>
    <row r="43" spans="1:12" x14ac:dyDescent="0.25">
      <c r="A43" t="s">
        <v>57</v>
      </c>
      <c r="B43">
        <v>4</v>
      </c>
      <c r="D43">
        <f t="shared" si="0"/>
        <v>4</v>
      </c>
      <c r="E43">
        <v>1</v>
      </c>
      <c r="F43">
        <f t="shared" si="1"/>
        <v>3</v>
      </c>
      <c r="G43">
        <v>14</v>
      </c>
      <c r="H43">
        <f t="shared" si="2"/>
        <v>42</v>
      </c>
    </row>
    <row r="44" spans="1:12" x14ac:dyDescent="0.25">
      <c r="A44" t="s">
        <v>58</v>
      </c>
      <c r="B44">
        <v>5</v>
      </c>
      <c r="D44">
        <f t="shared" si="0"/>
        <v>5</v>
      </c>
      <c r="E44">
        <v>1</v>
      </c>
      <c r="F44">
        <f t="shared" si="1"/>
        <v>4</v>
      </c>
      <c r="G44">
        <v>21</v>
      </c>
      <c r="H44">
        <f t="shared" si="2"/>
        <v>84</v>
      </c>
    </row>
    <row r="45" spans="1:12" x14ac:dyDescent="0.25">
      <c r="A45" t="s">
        <v>59</v>
      </c>
      <c r="B45">
        <v>0</v>
      </c>
      <c r="D45">
        <f t="shared" si="0"/>
        <v>0</v>
      </c>
      <c r="E45">
        <v>0</v>
      </c>
      <c r="F45">
        <f t="shared" si="1"/>
        <v>0</v>
      </c>
      <c r="G45">
        <v>14</v>
      </c>
      <c r="H45">
        <f t="shared" si="2"/>
        <v>0</v>
      </c>
    </row>
    <row r="46" spans="1:12" x14ac:dyDescent="0.25">
      <c r="A46" t="s">
        <v>60</v>
      </c>
      <c r="B46">
        <v>0</v>
      </c>
      <c r="D46">
        <f t="shared" si="0"/>
        <v>0</v>
      </c>
      <c r="E46">
        <v>0</v>
      </c>
      <c r="F46">
        <f t="shared" si="1"/>
        <v>0</v>
      </c>
      <c r="G46">
        <v>14</v>
      </c>
      <c r="H46">
        <f t="shared" si="2"/>
        <v>0</v>
      </c>
      <c r="J46" t="s">
        <v>61</v>
      </c>
      <c r="K46">
        <f>K35+K36+K37+K38+K39+K40+K41+K42+K43+K44+K45</f>
        <v>40</v>
      </c>
      <c r="L46">
        <f>SUM(L35:L45)</f>
        <v>90</v>
      </c>
    </row>
    <row r="47" spans="1:12" x14ac:dyDescent="0.25">
      <c r="A47" t="s">
        <v>62</v>
      </c>
      <c r="B47">
        <v>4</v>
      </c>
      <c r="D47">
        <f t="shared" si="0"/>
        <v>4</v>
      </c>
      <c r="E47">
        <v>2</v>
      </c>
      <c r="F47">
        <f t="shared" si="1"/>
        <v>2</v>
      </c>
      <c r="G47">
        <v>13</v>
      </c>
      <c r="H47">
        <f t="shared" si="2"/>
        <v>26</v>
      </c>
    </row>
    <row r="48" spans="1:12" x14ac:dyDescent="0.25">
      <c r="A48" t="s">
        <v>63</v>
      </c>
      <c r="B48">
        <v>0</v>
      </c>
      <c r="D48">
        <f t="shared" si="0"/>
        <v>0</v>
      </c>
      <c r="E48">
        <v>0</v>
      </c>
      <c r="F48">
        <f t="shared" si="1"/>
        <v>0</v>
      </c>
      <c r="G48">
        <v>9</v>
      </c>
      <c r="H48">
        <f t="shared" si="2"/>
        <v>0</v>
      </c>
      <c r="J48" t="s">
        <v>64</v>
      </c>
    </row>
    <row r="49" spans="1:12" x14ac:dyDescent="0.25">
      <c r="A49" t="s">
        <v>65</v>
      </c>
      <c r="B49">
        <v>0</v>
      </c>
      <c r="D49">
        <f t="shared" si="0"/>
        <v>0</v>
      </c>
      <c r="E49">
        <v>0</v>
      </c>
      <c r="F49">
        <f t="shared" si="1"/>
        <v>0</v>
      </c>
      <c r="G49">
        <v>7</v>
      </c>
      <c r="H49">
        <f t="shared" si="2"/>
        <v>0</v>
      </c>
      <c r="I49">
        <v>1</v>
      </c>
      <c r="J49" t="s">
        <v>223</v>
      </c>
      <c r="K49">
        <v>3.5</v>
      </c>
      <c r="L49">
        <f>I49*K49</f>
        <v>3.5</v>
      </c>
    </row>
    <row r="50" spans="1:12" x14ac:dyDescent="0.25">
      <c r="A50" t="s">
        <v>66</v>
      </c>
      <c r="B50">
        <v>9</v>
      </c>
      <c r="D50">
        <f t="shared" si="0"/>
        <v>9</v>
      </c>
      <c r="E50">
        <v>7</v>
      </c>
      <c r="F50">
        <f t="shared" si="1"/>
        <v>2</v>
      </c>
      <c r="G50">
        <v>12</v>
      </c>
      <c r="H50">
        <f t="shared" si="2"/>
        <v>24</v>
      </c>
      <c r="I50">
        <v>1</v>
      </c>
      <c r="J50" t="s">
        <v>224</v>
      </c>
      <c r="K50">
        <v>16</v>
      </c>
      <c r="L50">
        <f t="shared" ref="L50:L55" si="4">I50*K50</f>
        <v>16</v>
      </c>
    </row>
    <row r="51" spans="1:12" x14ac:dyDescent="0.25">
      <c r="A51" t="s">
        <v>67</v>
      </c>
      <c r="B51">
        <v>13</v>
      </c>
      <c r="D51">
        <f t="shared" si="0"/>
        <v>13</v>
      </c>
      <c r="E51">
        <v>9</v>
      </c>
      <c r="F51">
        <f t="shared" si="1"/>
        <v>4</v>
      </c>
      <c r="G51">
        <v>12</v>
      </c>
      <c r="H51">
        <f t="shared" si="2"/>
        <v>48</v>
      </c>
      <c r="I51">
        <v>1</v>
      </c>
      <c r="J51" t="s">
        <v>225</v>
      </c>
      <c r="K51">
        <v>15</v>
      </c>
      <c r="L51">
        <f t="shared" si="4"/>
        <v>15</v>
      </c>
    </row>
    <row r="52" spans="1:12" x14ac:dyDescent="0.25">
      <c r="A52" t="s">
        <v>68</v>
      </c>
      <c r="B52">
        <v>0</v>
      </c>
      <c r="D52">
        <f t="shared" si="0"/>
        <v>0</v>
      </c>
      <c r="E52">
        <v>0</v>
      </c>
      <c r="F52">
        <f t="shared" si="1"/>
        <v>0</v>
      </c>
      <c r="G52">
        <v>75</v>
      </c>
      <c r="H52">
        <f t="shared" si="2"/>
        <v>0</v>
      </c>
      <c r="I52">
        <v>1</v>
      </c>
      <c r="J52" t="s">
        <v>190</v>
      </c>
      <c r="K52">
        <v>21</v>
      </c>
      <c r="L52">
        <f t="shared" si="4"/>
        <v>21</v>
      </c>
    </row>
    <row r="53" spans="1:12" x14ac:dyDescent="0.25">
      <c r="A53" t="s">
        <v>69</v>
      </c>
      <c r="B53">
        <v>47</v>
      </c>
      <c r="D53">
        <f t="shared" si="0"/>
        <v>47</v>
      </c>
      <c r="E53">
        <v>37</v>
      </c>
      <c r="F53">
        <f t="shared" si="1"/>
        <v>10</v>
      </c>
      <c r="G53">
        <v>5</v>
      </c>
      <c r="H53">
        <f t="shared" si="2"/>
        <v>50</v>
      </c>
      <c r="I53">
        <v>1</v>
      </c>
      <c r="J53" t="s">
        <v>224</v>
      </c>
      <c r="K53">
        <v>16</v>
      </c>
      <c r="L53">
        <f t="shared" si="4"/>
        <v>16</v>
      </c>
    </row>
    <row r="54" spans="1:12" x14ac:dyDescent="0.25">
      <c r="A54" t="s">
        <v>70</v>
      </c>
      <c r="B54">
        <v>9</v>
      </c>
      <c r="D54">
        <f t="shared" si="0"/>
        <v>9</v>
      </c>
      <c r="E54">
        <v>8</v>
      </c>
      <c r="F54">
        <f t="shared" si="1"/>
        <v>1</v>
      </c>
      <c r="G54">
        <v>19</v>
      </c>
      <c r="H54">
        <f t="shared" si="2"/>
        <v>19</v>
      </c>
      <c r="I54">
        <v>1</v>
      </c>
      <c r="J54" t="s">
        <v>196</v>
      </c>
      <c r="K54">
        <v>12</v>
      </c>
      <c r="L54">
        <f t="shared" si="4"/>
        <v>12</v>
      </c>
    </row>
    <row r="55" spans="1:12" x14ac:dyDescent="0.25">
      <c r="A55" t="s">
        <v>71</v>
      </c>
      <c r="B55">
        <v>2</v>
      </c>
      <c r="D55">
        <f t="shared" si="0"/>
        <v>2</v>
      </c>
      <c r="E55">
        <v>0</v>
      </c>
      <c r="F55">
        <f t="shared" si="1"/>
        <v>2</v>
      </c>
      <c r="G55">
        <v>22</v>
      </c>
      <c r="H55">
        <f t="shared" si="2"/>
        <v>44</v>
      </c>
      <c r="I55">
        <v>1</v>
      </c>
      <c r="J55" t="s">
        <v>226</v>
      </c>
      <c r="K55">
        <v>42</v>
      </c>
      <c r="L55">
        <f t="shared" si="4"/>
        <v>42</v>
      </c>
    </row>
    <row r="56" spans="1:12" x14ac:dyDescent="0.25">
      <c r="A56" t="s">
        <v>72</v>
      </c>
      <c r="B56">
        <v>0</v>
      </c>
      <c r="D56">
        <f t="shared" si="0"/>
        <v>0</v>
      </c>
      <c r="E56">
        <v>0</v>
      </c>
      <c r="F56">
        <f t="shared" si="1"/>
        <v>0</v>
      </c>
      <c r="G56">
        <v>12</v>
      </c>
      <c r="H56">
        <f t="shared" si="2"/>
        <v>0</v>
      </c>
      <c r="K56" t="s">
        <v>8</v>
      </c>
      <c r="L56">
        <f>SUM(L49:L55)</f>
        <v>125.5</v>
      </c>
    </row>
    <row r="57" spans="1:12" x14ac:dyDescent="0.25">
      <c r="A57" t="s">
        <v>73</v>
      </c>
      <c r="B57">
        <v>0</v>
      </c>
      <c r="D57">
        <f t="shared" si="0"/>
        <v>0</v>
      </c>
      <c r="E57">
        <v>0</v>
      </c>
      <c r="F57">
        <f t="shared" si="1"/>
        <v>0</v>
      </c>
      <c r="G57">
        <v>11</v>
      </c>
      <c r="H57">
        <f t="shared" si="2"/>
        <v>0</v>
      </c>
    </row>
    <row r="58" spans="1:12" x14ac:dyDescent="0.25">
      <c r="A58" t="s">
        <v>74</v>
      </c>
      <c r="B58">
        <v>15</v>
      </c>
      <c r="D58">
        <f t="shared" si="0"/>
        <v>15</v>
      </c>
      <c r="E58">
        <v>14</v>
      </c>
      <c r="F58">
        <f t="shared" si="1"/>
        <v>1</v>
      </c>
      <c r="G58">
        <v>11</v>
      </c>
      <c r="H58">
        <f t="shared" si="2"/>
        <v>11</v>
      </c>
      <c r="J58" t="s">
        <v>75</v>
      </c>
      <c r="K58" t="e">
        <f>K49+K50+K51+K52+K53+K54+K55+K56+K57</f>
        <v>#VALUE!</v>
      </c>
    </row>
    <row r="59" spans="1:12" x14ac:dyDescent="0.25">
      <c r="A59" t="s">
        <v>76</v>
      </c>
      <c r="B59">
        <v>14</v>
      </c>
      <c r="D59">
        <f t="shared" si="0"/>
        <v>14</v>
      </c>
      <c r="E59">
        <v>11</v>
      </c>
      <c r="F59">
        <f t="shared" si="1"/>
        <v>3</v>
      </c>
      <c r="G59">
        <v>11</v>
      </c>
      <c r="H59">
        <f t="shared" si="2"/>
        <v>33</v>
      </c>
      <c r="J59" t="s">
        <v>77</v>
      </c>
    </row>
    <row r="60" spans="1:12" x14ac:dyDescent="0.25">
      <c r="A60" t="s">
        <v>78</v>
      </c>
      <c r="B60">
        <v>0</v>
      </c>
      <c r="D60">
        <f t="shared" si="0"/>
        <v>0</v>
      </c>
      <c r="E60">
        <v>0</v>
      </c>
      <c r="F60">
        <f t="shared" si="1"/>
        <v>0</v>
      </c>
      <c r="G60">
        <v>40</v>
      </c>
      <c r="H60">
        <f t="shared" si="2"/>
        <v>0</v>
      </c>
      <c r="K60">
        <f>I60*L60</f>
        <v>0</v>
      </c>
      <c r="L60">
        <v>0</v>
      </c>
    </row>
    <row r="61" spans="1:12" x14ac:dyDescent="0.25">
      <c r="A61" t="s">
        <v>79</v>
      </c>
      <c r="B61">
        <v>0</v>
      </c>
      <c r="D61">
        <f t="shared" si="0"/>
        <v>0</v>
      </c>
      <c r="E61">
        <v>0</v>
      </c>
      <c r="F61">
        <f t="shared" si="1"/>
        <v>0</v>
      </c>
      <c r="G61">
        <v>25</v>
      </c>
      <c r="H61">
        <f t="shared" si="2"/>
        <v>0</v>
      </c>
      <c r="K61">
        <f t="shared" ref="K61:K70" si="5">I61*L61</f>
        <v>0</v>
      </c>
      <c r="L61">
        <v>0</v>
      </c>
    </row>
    <row r="62" spans="1:12" x14ac:dyDescent="0.25">
      <c r="A62" t="s">
        <v>80</v>
      </c>
      <c r="B62">
        <v>0</v>
      </c>
      <c r="D62">
        <f t="shared" si="0"/>
        <v>0</v>
      </c>
      <c r="E62">
        <v>0</v>
      </c>
      <c r="F62">
        <f t="shared" si="1"/>
        <v>0</v>
      </c>
      <c r="G62">
        <v>16</v>
      </c>
      <c r="H62">
        <f t="shared" si="2"/>
        <v>0</v>
      </c>
      <c r="K62">
        <f t="shared" si="5"/>
        <v>0</v>
      </c>
      <c r="L62">
        <v>0</v>
      </c>
    </row>
    <row r="63" spans="1:12" x14ac:dyDescent="0.25">
      <c r="A63" t="s">
        <v>81</v>
      </c>
      <c r="B63">
        <v>6</v>
      </c>
      <c r="D63">
        <f t="shared" si="0"/>
        <v>6</v>
      </c>
      <c r="E63">
        <v>2</v>
      </c>
      <c r="F63">
        <f t="shared" si="1"/>
        <v>4</v>
      </c>
      <c r="G63">
        <v>17</v>
      </c>
      <c r="H63">
        <f t="shared" si="2"/>
        <v>68</v>
      </c>
      <c r="K63">
        <f t="shared" si="5"/>
        <v>0</v>
      </c>
      <c r="L63">
        <v>0</v>
      </c>
    </row>
    <row r="64" spans="1:12" x14ac:dyDescent="0.25">
      <c r="A64" t="s">
        <v>82</v>
      </c>
      <c r="B64">
        <v>0</v>
      </c>
      <c r="D64">
        <f t="shared" si="0"/>
        <v>0</v>
      </c>
      <c r="E64">
        <v>0</v>
      </c>
      <c r="F64">
        <f t="shared" si="1"/>
        <v>0</v>
      </c>
      <c r="G64">
        <v>15</v>
      </c>
      <c r="H64">
        <f t="shared" si="2"/>
        <v>0</v>
      </c>
      <c r="K64">
        <f t="shared" si="5"/>
        <v>0</v>
      </c>
      <c r="L64">
        <v>0</v>
      </c>
    </row>
    <row r="65" spans="1:12" x14ac:dyDescent="0.25">
      <c r="A65" t="s">
        <v>83</v>
      </c>
      <c r="B65">
        <v>10</v>
      </c>
      <c r="D65">
        <f t="shared" si="0"/>
        <v>10</v>
      </c>
      <c r="E65">
        <v>6</v>
      </c>
      <c r="F65">
        <f t="shared" si="1"/>
        <v>4</v>
      </c>
      <c r="G65">
        <v>17</v>
      </c>
      <c r="H65">
        <f t="shared" si="2"/>
        <v>68</v>
      </c>
      <c r="K65">
        <f t="shared" si="5"/>
        <v>0</v>
      </c>
      <c r="L65">
        <v>0</v>
      </c>
    </row>
    <row r="66" spans="1:12" x14ac:dyDescent="0.25">
      <c r="A66" t="s">
        <v>84</v>
      </c>
      <c r="B66">
        <v>0</v>
      </c>
      <c r="C66">
        <v>264</v>
      </c>
      <c r="D66">
        <f t="shared" si="0"/>
        <v>264</v>
      </c>
      <c r="E66">
        <v>72</v>
      </c>
      <c r="F66">
        <f t="shared" si="1"/>
        <v>192</v>
      </c>
      <c r="G66">
        <v>3.5</v>
      </c>
      <c r="H66">
        <f t="shared" si="2"/>
        <v>672</v>
      </c>
      <c r="K66">
        <f t="shared" si="5"/>
        <v>0</v>
      </c>
      <c r="L66">
        <v>0</v>
      </c>
    </row>
    <row r="67" spans="1:12" x14ac:dyDescent="0.25">
      <c r="A67" t="s">
        <v>85</v>
      </c>
      <c r="B67">
        <v>4</v>
      </c>
      <c r="D67">
        <f t="shared" si="0"/>
        <v>4</v>
      </c>
      <c r="E67">
        <v>3</v>
      </c>
      <c r="F67">
        <f t="shared" si="1"/>
        <v>1</v>
      </c>
      <c r="G67">
        <v>15</v>
      </c>
      <c r="H67">
        <f t="shared" si="2"/>
        <v>15</v>
      </c>
      <c r="K67">
        <f t="shared" si="5"/>
        <v>0</v>
      </c>
      <c r="L67">
        <v>0</v>
      </c>
    </row>
    <row r="68" spans="1:12" x14ac:dyDescent="0.25">
      <c r="A68" t="s">
        <v>86</v>
      </c>
      <c r="B68">
        <v>0</v>
      </c>
      <c r="C68">
        <v>60</v>
      </c>
      <c r="D68">
        <f t="shared" si="0"/>
        <v>60</v>
      </c>
      <c r="E68">
        <v>7</v>
      </c>
      <c r="F68">
        <f t="shared" si="1"/>
        <v>53</v>
      </c>
      <c r="G68">
        <v>4</v>
      </c>
      <c r="H68">
        <f t="shared" si="2"/>
        <v>212</v>
      </c>
      <c r="K68">
        <f t="shared" si="5"/>
        <v>0</v>
      </c>
      <c r="L68">
        <v>0</v>
      </c>
    </row>
    <row r="69" spans="1:12" x14ac:dyDescent="0.25">
      <c r="A69" t="s">
        <v>212</v>
      </c>
      <c r="B69">
        <v>4</v>
      </c>
      <c r="D69">
        <f t="shared" si="0"/>
        <v>4</v>
      </c>
      <c r="E69">
        <v>4</v>
      </c>
      <c r="F69">
        <f t="shared" si="1"/>
        <v>0</v>
      </c>
      <c r="G69">
        <v>16</v>
      </c>
      <c r="H69">
        <f t="shared" si="2"/>
        <v>0</v>
      </c>
      <c r="K69">
        <f t="shared" si="5"/>
        <v>0</v>
      </c>
      <c r="L69">
        <v>0</v>
      </c>
    </row>
    <row r="70" spans="1:12" x14ac:dyDescent="0.25">
      <c r="A70" t="s">
        <v>213</v>
      </c>
      <c r="B70">
        <v>4</v>
      </c>
      <c r="D70">
        <f>B70+C70</f>
        <v>4</v>
      </c>
      <c r="E70">
        <v>3</v>
      </c>
      <c r="F70">
        <f t="shared" si="1"/>
        <v>1</v>
      </c>
      <c r="G70">
        <v>12</v>
      </c>
      <c r="H70">
        <f t="shared" si="2"/>
        <v>12</v>
      </c>
      <c r="K70">
        <f t="shared" si="5"/>
        <v>0</v>
      </c>
      <c r="L70">
        <v>0</v>
      </c>
    </row>
    <row r="71" spans="1:12" x14ac:dyDescent="0.25">
      <c r="B71">
        <v>0</v>
      </c>
      <c r="D71">
        <f t="shared" ref="D71:D78" si="6">B71+C71</f>
        <v>0</v>
      </c>
      <c r="E71">
        <v>0</v>
      </c>
      <c r="F71">
        <f t="shared" ref="F71:F77" si="7">D71-E71</f>
        <v>0</v>
      </c>
      <c r="H71">
        <f t="shared" ref="H71:H74" si="8">F71*G71</f>
        <v>0</v>
      </c>
      <c r="J71" t="s">
        <v>87</v>
      </c>
      <c r="K71">
        <f>K60+K61+K7262+K63+K64+K65+K66+K67+K68+K70+K69+K62</f>
        <v>0</v>
      </c>
    </row>
    <row r="72" spans="1:12" x14ac:dyDescent="0.25">
      <c r="B72">
        <v>0</v>
      </c>
      <c r="D72">
        <f t="shared" si="6"/>
        <v>0</v>
      </c>
      <c r="E72">
        <v>0</v>
      </c>
      <c r="F72">
        <f t="shared" si="7"/>
        <v>0</v>
      </c>
      <c r="H72">
        <f t="shared" si="8"/>
        <v>0</v>
      </c>
    </row>
    <row r="73" spans="1:12" x14ac:dyDescent="0.25">
      <c r="B73">
        <v>0</v>
      </c>
      <c r="D73">
        <f t="shared" si="6"/>
        <v>0</v>
      </c>
      <c r="E73">
        <v>0</v>
      </c>
      <c r="F73">
        <f t="shared" si="7"/>
        <v>0</v>
      </c>
      <c r="H73">
        <f t="shared" si="8"/>
        <v>0</v>
      </c>
    </row>
    <row r="74" spans="1:12" x14ac:dyDescent="0.25">
      <c r="B74">
        <v>0</v>
      </c>
      <c r="D74">
        <f t="shared" si="6"/>
        <v>0</v>
      </c>
      <c r="E74">
        <v>0</v>
      </c>
      <c r="F74">
        <f t="shared" si="7"/>
        <v>0</v>
      </c>
      <c r="H74">
        <f t="shared" si="8"/>
        <v>0</v>
      </c>
      <c r="J74" t="s">
        <v>88</v>
      </c>
    </row>
    <row r="75" spans="1:12" x14ac:dyDescent="0.25">
      <c r="B75">
        <v>0</v>
      </c>
      <c r="D75">
        <f t="shared" si="6"/>
        <v>0</v>
      </c>
      <c r="E75">
        <v>0</v>
      </c>
      <c r="F75">
        <f t="shared" si="7"/>
        <v>0</v>
      </c>
      <c r="H75">
        <v>0</v>
      </c>
      <c r="J75" t="s">
        <v>89</v>
      </c>
    </row>
    <row r="76" spans="1:12" x14ac:dyDescent="0.25">
      <c r="B76">
        <v>0</v>
      </c>
      <c r="D76">
        <f t="shared" si="6"/>
        <v>0</v>
      </c>
      <c r="E76">
        <v>0</v>
      </c>
      <c r="F76">
        <f t="shared" si="7"/>
        <v>0</v>
      </c>
      <c r="H76">
        <f t="shared" ref="H76:H77" si="9">F76*G76</f>
        <v>0</v>
      </c>
    </row>
    <row r="77" spans="1:12" x14ac:dyDescent="0.25">
      <c r="B77">
        <v>0</v>
      </c>
      <c r="D77">
        <f t="shared" si="6"/>
        <v>0</v>
      </c>
      <c r="E77">
        <v>0</v>
      </c>
      <c r="F77">
        <f t="shared" si="7"/>
        <v>0</v>
      </c>
      <c r="H77">
        <f t="shared" si="9"/>
        <v>0</v>
      </c>
    </row>
    <row r="78" spans="1:12" x14ac:dyDescent="0.25">
      <c r="A78" t="s">
        <v>90</v>
      </c>
      <c r="B78">
        <v>0</v>
      </c>
      <c r="D78">
        <f t="shared" si="6"/>
        <v>0</v>
      </c>
      <c r="H78">
        <f>H5+H6+H7+H8+H9+H10+H11+H12+H13+H14+H15+H16+H17+H18+H19+H20+H21+H22+H23+H24+H25+H26+H27+H28+H29+H30+H31+H32+H33+H34+H35+H36+H37+H38+H39+H40+H41+H42+H43+H44+H45+H46+H47+H48+H49+H50+H51+H52+H53+H54+H55+H56+H57+H58+H59+H60+H61+H62+H63+H64+H65+H66+H67+H68+H70+H71+H73+H76+H77+H74+H75+H69+H72</f>
        <v>3404</v>
      </c>
      <c r="J78" t="s">
        <v>91</v>
      </c>
      <c r="K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97C5-1C0B-429F-B50A-C69B6AC3A73A}">
  <dimension ref="A1:L188"/>
  <sheetViews>
    <sheetView topLeftCell="A28" workbookViewId="0">
      <selection activeCell="D51" sqref="D51"/>
    </sheetView>
  </sheetViews>
  <sheetFormatPr baseColWidth="10" defaultRowHeight="15" x14ac:dyDescent="0.25"/>
  <sheetData>
    <row r="1" spans="1:12" x14ac:dyDescent="0.25">
      <c r="E1" t="s">
        <v>92</v>
      </c>
    </row>
    <row r="3" spans="1:12" x14ac:dyDescent="0.25">
      <c r="A3" s="1"/>
      <c r="B3" s="1" t="s">
        <v>93</v>
      </c>
      <c r="C3" s="1" t="s">
        <v>210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 t="s">
        <v>95</v>
      </c>
      <c r="C5" s="1"/>
      <c r="D5" s="1"/>
      <c r="E5" s="1"/>
      <c r="F5" s="1"/>
      <c r="G5" s="1"/>
      <c r="H5" s="1" t="s">
        <v>96</v>
      </c>
      <c r="I5" s="1"/>
      <c r="J5" s="1"/>
      <c r="K5" s="1"/>
      <c r="L5" s="1"/>
    </row>
    <row r="6" spans="1:12" x14ac:dyDescent="0.25">
      <c r="A6" s="1"/>
      <c r="B6" s="1" t="s">
        <v>97</v>
      </c>
      <c r="C6" s="1" t="s">
        <v>98</v>
      </c>
      <c r="D6" s="1" t="s">
        <v>209</v>
      </c>
      <c r="E6" s="1" t="s">
        <v>100</v>
      </c>
      <c r="F6" s="1" t="s">
        <v>101</v>
      </c>
      <c r="G6" s="1"/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</row>
    <row r="7" spans="1:12" x14ac:dyDescent="0.25">
      <c r="A7" s="1"/>
      <c r="B7" s="1">
        <v>2</v>
      </c>
      <c r="C7" s="1" t="s">
        <v>201</v>
      </c>
      <c r="D7" s="1">
        <v>149</v>
      </c>
      <c r="E7" s="1">
        <v>2</v>
      </c>
      <c r="F7" s="1">
        <f>D7*E7</f>
        <v>298</v>
      </c>
      <c r="G7" s="1"/>
      <c r="H7" s="1">
        <v>1</v>
      </c>
      <c r="I7" s="1" t="s">
        <v>202</v>
      </c>
      <c r="J7" s="1">
        <v>50</v>
      </c>
      <c r="K7" s="1">
        <v>1</v>
      </c>
      <c r="L7" s="1">
        <f>J7*K7</f>
        <v>50</v>
      </c>
    </row>
    <row r="8" spans="1:12" x14ac:dyDescent="0.25">
      <c r="A8" s="1"/>
      <c r="B8" s="1">
        <v>1</v>
      </c>
      <c r="C8" s="1" t="s">
        <v>203</v>
      </c>
      <c r="D8" s="1">
        <v>97</v>
      </c>
      <c r="E8" s="1">
        <v>1</v>
      </c>
      <c r="F8" s="1">
        <f t="shared" ref="F8:F24" si="0">D8*E8</f>
        <v>97</v>
      </c>
      <c r="G8" s="1"/>
      <c r="H8" s="1">
        <v>1</v>
      </c>
      <c r="I8" s="1" t="s">
        <v>204</v>
      </c>
      <c r="J8" s="1">
        <v>59</v>
      </c>
      <c r="K8" s="1">
        <v>1</v>
      </c>
      <c r="L8" s="1">
        <f t="shared" ref="L8:L24" si="1">J8*K8</f>
        <v>59</v>
      </c>
    </row>
    <row r="9" spans="1:12" x14ac:dyDescent="0.25">
      <c r="A9" s="1"/>
      <c r="B9" s="1">
        <v>5</v>
      </c>
      <c r="C9" s="1" t="s">
        <v>205</v>
      </c>
      <c r="D9" s="1">
        <v>33</v>
      </c>
      <c r="E9" s="1">
        <v>5</v>
      </c>
      <c r="F9" s="1">
        <f t="shared" si="0"/>
        <v>165</v>
      </c>
      <c r="G9" s="1"/>
      <c r="H9" s="1"/>
      <c r="I9" s="1"/>
      <c r="J9" s="1"/>
      <c r="K9" s="1"/>
      <c r="L9" s="1">
        <f t="shared" si="1"/>
        <v>0</v>
      </c>
    </row>
    <row r="10" spans="1:12" x14ac:dyDescent="0.25">
      <c r="A10" s="1"/>
      <c r="B10" s="1">
        <v>1</v>
      </c>
      <c r="C10" s="1" t="s">
        <v>206</v>
      </c>
      <c r="D10" s="1">
        <v>78</v>
      </c>
      <c r="E10" s="1">
        <v>1</v>
      </c>
      <c r="F10" s="1">
        <f t="shared" si="0"/>
        <v>78</v>
      </c>
      <c r="G10" s="1"/>
      <c r="H10" s="1"/>
      <c r="I10" s="1"/>
      <c r="J10" s="1"/>
      <c r="K10" s="1"/>
      <c r="L10" s="1">
        <f t="shared" si="1"/>
        <v>0</v>
      </c>
    </row>
    <row r="11" spans="1:12" x14ac:dyDescent="0.25">
      <c r="A11" s="1"/>
      <c r="B11" s="1">
        <v>1</v>
      </c>
      <c r="C11" s="1" t="s">
        <v>207</v>
      </c>
      <c r="D11" s="1">
        <v>74</v>
      </c>
      <c r="E11" s="1">
        <v>1</v>
      </c>
      <c r="F11" s="1">
        <f t="shared" si="0"/>
        <v>74</v>
      </c>
      <c r="G11" s="1"/>
      <c r="H11" s="1"/>
      <c r="I11" s="1"/>
      <c r="J11" s="1">
        <v>0</v>
      </c>
      <c r="K11" s="1"/>
      <c r="L11" s="1">
        <f t="shared" si="1"/>
        <v>0</v>
      </c>
    </row>
    <row r="12" spans="1:12" x14ac:dyDescent="0.25">
      <c r="A12" s="1"/>
      <c r="B12" s="1">
        <v>2</v>
      </c>
      <c r="C12" s="1" t="s">
        <v>208</v>
      </c>
      <c r="D12" s="1">
        <v>107.5</v>
      </c>
      <c r="E12" s="1">
        <v>8</v>
      </c>
      <c r="F12" s="1">
        <f t="shared" si="0"/>
        <v>860</v>
      </c>
      <c r="G12" s="1"/>
      <c r="H12" s="1"/>
      <c r="I12" s="1"/>
      <c r="J12" s="1">
        <v>0</v>
      </c>
      <c r="K12" s="1"/>
      <c r="L12" s="1">
        <f t="shared" si="1"/>
        <v>0</v>
      </c>
    </row>
    <row r="13" spans="1:12" x14ac:dyDescent="0.25">
      <c r="A13" s="1"/>
      <c r="B13" s="1"/>
      <c r="C13" s="1"/>
      <c r="D13" s="1">
        <v>0</v>
      </c>
      <c r="E13" s="1">
        <v>0</v>
      </c>
      <c r="F13" s="1">
        <f t="shared" si="0"/>
        <v>0</v>
      </c>
      <c r="G13" s="1"/>
      <c r="H13" s="1"/>
      <c r="I13" s="1"/>
      <c r="J13" s="1">
        <v>0</v>
      </c>
      <c r="K13" s="1"/>
      <c r="L13" s="1">
        <f t="shared" si="1"/>
        <v>0</v>
      </c>
    </row>
    <row r="14" spans="1:12" x14ac:dyDescent="0.25">
      <c r="A14" s="1"/>
      <c r="B14" s="1"/>
      <c r="C14" s="1"/>
      <c r="D14" s="1">
        <v>0</v>
      </c>
      <c r="E14" s="1">
        <v>0</v>
      </c>
      <c r="F14" s="1">
        <f t="shared" si="0"/>
        <v>0</v>
      </c>
      <c r="G14" s="1"/>
      <c r="H14" s="1"/>
      <c r="I14" s="1"/>
      <c r="J14" s="1">
        <v>0</v>
      </c>
      <c r="K14" s="1"/>
      <c r="L14" s="1">
        <f t="shared" si="1"/>
        <v>0</v>
      </c>
    </row>
    <row r="15" spans="1:12" x14ac:dyDescent="0.25">
      <c r="A15" s="1"/>
      <c r="B15" s="1"/>
      <c r="C15" s="1"/>
      <c r="D15" s="1">
        <v>0</v>
      </c>
      <c r="E15" s="1">
        <v>0</v>
      </c>
      <c r="F15" s="1">
        <f t="shared" si="0"/>
        <v>0</v>
      </c>
      <c r="G15" s="1"/>
      <c r="H15" s="1"/>
      <c r="I15" s="1"/>
      <c r="J15" s="1">
        <v>0</v>
      </c>
      <c r="K15" s="1"/>
      <c r="L15" s="1">
        <f t="shared" si="1"/>
        <v>0</v>
      </c>
    </row>
    <row r="16" spans="1:12" x14ac:dyDescent="0.25">
      <c r="A16" s="1"/>
      <c r="B16" s="1"/>
      <c r="C16" s="1"/>
      <c r="D16" s="1">
        <v>0</v>
      </c>
      <c r="E16" s="1">
        <v>0</v>
      </c>
      <c r="F16" s="1">
        <f t="shared" si="0"/>
        <v>0</v>
      </c>
      <c r="G16" s="1"/>
      <c r="H16" s="1"/>
      <c r="I16" s="1"/>
      <c r="J16" s="1">
        <v>0</v>
      </c>
      <c r="K16" s="1"/>
      <c r="L16" s="1">
        <f t="shared" si="1"/>
        <v>0</v>
      </c>
    </row>
    <row r="17" spans="1:12" x14ac:dyDescent="0.25">
      <c r="A17" s="1"/>
      <c r="B17" s="1"/>
      <c r="C17" s="1"/>
      <c r="D17" s="1">
        <v>0</v>
      </c>
      <c r="E17" s="1">
        <v>0</v>
      </c>
      <c r="F17" s="1">
        <f t="shared" si="0"/>
        <v>0</v>
      </c>
      <c r="G17" s="1"/>
      <c r="H17" s="1"/>
      <c r="I17" s="1"/>
      <c r="J17" s="1">
        <v>0</v>
      </c>
      <c r="K17" s="1"/>
      <c r="L17" s="1">
        <f t="shared" si="1"/>
        <v>0</v>
      </c>
    </row>
    <row r="18" spans="1:12" x14ac:dyDescent="0.25">
      <c r="A18" s="1"/>
      <c r="B18" s="1"/>
      <c r="C18" s="1"/>
      <c r="D18" s="1">
        <v>0</v>
      </c>
      <c r="E18" s="1">
        <v>0</v>
      </c>
      <c r="F18" s="1">
        <f t="shared" si="0"/>
        <v>0</v>
      </c>
      <c r="G18" s="1"/>
      <c r="H18" s="1"/>
      <c r="I18" s="1"/>
      <c r="J18" s="1">
        <v>0</v>
      </c>
      <c r="K18" s="1"/>
      <c r="L18" s="1">
        <f t="shared" si="1"/>
        <v>0</v>
      </c>
    </row>
    <row r="19" spans="1:12" x14ac:dyDescent="0.25">
      <c r="A19" s="1"/>
      <c r="B19" s="1"/>
      <c r="C19" s="1"/>
      <c r="D19" s="1">
        <f t="shared" ref="D19:D24" si="2">SUM(W19:Y19)</f>
        <v>0</v>
      </c>
      <c r="E19" s="1">
        <v>0</v>
      </c>
      <c r="F19" s="1">
        <f t="shared" si="0"/>
        <v>0</v>
      </c>
      <c r="G19" s="1"/>
      <c r="H19" s="1"/>
      <c r="I19" s="1"/>
      <c r="J19" s="1">
        <v>0</v>
      </c>
      <c r="K19" s="1"/>
      <c r="L19" s="1">
        <f t="shared" si="1"/>
        <v>0</v>
      </c>
    </row>
    <row r="20" spans="1:12" x14ac:dyDescent="0.25">
      <c r="A20" s="1"/>
      <c r="B20" s="1"/>
      <c r="C20" s="1"/>
      <c r="D20" s="1">
        <f t="shared" si="2"/>
        <v>0</v>
      </c>
      <c r="E20" s="1">
        <v>0</v>
      </c>
      <c r="F20" s="1">
        <f t="shared" si="0"/>
        <v>0</v>
      </c>
      <c r="G20" s="1"/>
      <c r="H20" s="1"/>
      <c r="I20" s="1"/>
      <c r="J20" s="1">
        <v>0</v>
      </c>
      <c r="K20" s="1"/>
      <c r="L20" s="1">
        <f t="shared" si="1"/>
        <v>0</v>
      </c>
    </row>
    <row r="21" spans="1:12" x14ac:dyDescent="0.25">
      <c r="A21" s="1"/>
      <c r="B21" s="1"/>
      <c r="C21" s="1"/>
      <c r="D21" s="1">
        <f t="shared" si="2"/>
        <v>0</v>
      </c>
      <c r="E21" s="1">
        <v>0</v>
      </c>
      <c r="F21" s="1">
        <f t="shared" si="0"/>
        <v>0</v>
      </c>
      <c r="G21" s="1"/>
      <c r="H21" s="1"/>
      <c r="I21" s="1"/>
      <c r="J21" s="1">
        <v>0</v>
      </c>
      <c r="K21" s="1"/>
      <c r="L21" s="1">
        <f t="shared" si="1"/>
        <v>0</v>
      </c>
    </row>
    <row r="22" spans="1:12" x14ac:dyDescent="0.25">
      <c r="A22" s="1"/>
      <c r="B22" s="1"/>
      <c r="C22" s="1"/>
      <c r="D22" s="1">
        <f t="shared" si="2"/>
        <v>0</v>
      </c>
      <c r="E22" s="1">
        <v>0</v>
      </c>
      <c r="F22" s="1">
        <f t="shared" si="0"/>
        <v>0</v>
      </c>
      <c r="G22" s="1"/>
      <c r="H22" s="1"/>
      <c r="I22" s="1"/>
      <c r="J22" s="1">
        <v>0</v>
      </c>
      <c r="K22" s="1"/>
      <c r="L22" s="1">
        <f t="shared" si="1"/>
        <v>0</v>
      </c>
    </row>
    <row r="23" spans="1:12" x14ac:dyDescent="0.25">
      <c r="A23" s="1"/>
      <c r="B23" s="1"/>
      <c r="C23" s="1"/>
      <c r="D23" s="1">
        <f t="shared" si="2"/>
        <v>0</v>
      </c>
      <c r="E23" s="1">
        <v>0</v>
      </c>
      <c r="F23" s="1">
        <f t="shared" si="0"/>
        <v>0</v>
      </c>
      <c r="G23" s="1"/>
      <c r="H23" s="1"/>
      <c r="I23" s="1"/>
      <c r="J23" s="1">
        <v>0</v>
      </c>
      <c r="K23" s="1"/>
      <c r="L23" s="1">
        <f t="shared" si="1"/>
        <v>0</v>
      </c>
    </row>
    <row r="24" spans="1:12" x14ac:dyDescent="0.25">
      <c r="A24" s="1"/>
      <c r="B24" s="1"/>
      <c r="C24" s="1"/>
      <c r="D24" s="1">
        <f t="shared" si="2"/>
        <v>0</v>
      </c>
      <c r="E24" s="1">
        <v>0</v>
      </c>
      <c r="F24" s="1">
        <f t="shared" si="0"/>
        <v>0</v>
      </c>
      <c r="G24" s="1"/>
      <c r="H24" s="1"/>
      <c r="I24" s="1"/>
      <c r="J24" s="1">
        <v>0</v>
      </c>
      <c r="K24" s="1"/>
      <c r="L24" s="1">
        <f t="shared" si="1"/>
        <v>0</v>
      </c>
    </row>
    <row r="25" spans="1:12" x14ac:dyDescent="0.25">
      <c r="A25" s="1"/>
      <c r="B25" s="1" t="s">
        <v>90</v>
      </c>
      <c r="C25" s="1"/>
      <c r="D25" s="1">
        <f>SUM(D7:D24)</f>
        <v>538.5</v>
      </c>
      <c r="E25" s="1"/>
      <c r="F25" s="1">
        <f>SUM(F7:F24)</f>
        <v>1572</v>
      </c>
      <c r="G25" s="1"/>
      <c r="H25" s="1" t="s">
        <v>90</v>
      </c>
      <c r="I25" s="1"/>
      <c r="J25" s="1">
        <f>SUM(J7:J24)</f>
        <v>109</v>
      </c>
      <c r="K25" s="1"/>
      <c r="L25" s="1">
        <f>SUM(L7:L24)</f>
        <v>109</v>
      </c>
    </row>
    <row r="31" spans="1:12" x14ac:dyDescent="0.25">
      <c r="B31" t="s">
        <v>248</v>
      </c>
    </row>
    <row r="32" spans="1:12" x14ac:dyDescent="0.25">
      <c r="B32" t="s">
        <v>94</v>
      </c>
    </row>
    <row r="33" spans="1:12" x14ac:dyDescent="0.25">
      <c r="B33" t="s">
        <v>95</v>
      </c>
      <c r="H33" t="s">
        <v>96</v>
      </c>
    </row>
    <row r="34" spans="1:12" x14ac:dyDescent="0.25">
      <c r="A34" s="1"/>
      <c r="B34" s="1" t="s">
        <v>97</v>
      </c>
      <c r="C34" s="1" t="s">
        <v>98</v>
      </c>
      <c r="D34" s="1" t="s">
        <v>251</v>
      </c>
      <c r="E34" s="1" t="s">
        <v>100</v>
      </c>
      <c r="F34" s="1" t="s">
        <v>101</v>
      </c>
      <c r="G34" s="1"/>
      <c r="H34" s="1" t="s">
        <v>97</v>
      </c>
      <c r="I34" s="1" t="s">
        <v>98</v>
      </c>
      <c r="J34" s="1" t="s">
        <v>99</v>
      </c>
      <c r="K34" s="1" t="s">
        <v>100</v>
      </c>
      <c r="L34" s="1" t="s">
        <v>101</v>
      </c>
    </row>
    <row r="35" spans="1:12" x14ac:dyDescent="0.25">
      <c r="A35" s="1" t="s">
        <v>249</v>
      </c>
      <c r="B35" s="1">
        <v>24</v>
      </c>
      <c r="C35" s="1" t="s">
        <v>250</v>
      </c>
      <c r="D35" s="1">
        <v>36.159999999999997</v>
      </c>
      <c r="E35" s="1">
        <v>24</v>
      </c>
      <c r="F35" s="1">
        <f>+D35*E35</f>
        <v>867.83999999999992</v>
      </c>
      <c r="G35" s="1" t="s">
        <v>263</v>
      </c>
      <c r="H35" s="1">
        <v>1</v>
      </c>
      <c r="I35" s="1" t="s">
        <v>264</v>
      </c>
      <c r="J35" s="1">
        <v>36</v>
      </c>
      <c r="K35" s="1">
        <v>1</v>
      </c>
      <c r="L35" s="1">
        <f>+J35*K35</f>
        <v>36</v>
      </c>
    </row>
    <row r="36" spans="1:12" x14ac:dyDescent="0.25">
      <c r="A36" s="1" t="s">
        <v>252</v>
      </c>
      <c r="B36" s="1">
        <v>1</v>
      </c>
      <c r="C36" s="1" t="s">
        <v>253</v>
      </c>
      <c r="D36" s="1">
        <v>229</v>
      </c>
      <c r="E36" s="1">
        <v>0.65</v>
      </c>
      <c r="F36" s="1">
        <f t="shared" ref="F36:F53" si="3">+D36*E36</f>
        <v>148.85</v>
      </c>
      <c r="G36" s="1"/>
      <c r="H36" s="1"/>
      <c r="I36" s="1"/>
      <c r="J36" s="1"/>
      <c r="K36" s="1"/>
      <c r="L36" s="1"/>
    </row>
    <row r="37" spans="1:12" x14ac:dyDescent="0.25">
      <c r="A37" s="1" t="s">
        <v>254</v>
      </c>
      <c r="B37" s="1">
        <v>1</v>
      </c>
      <c r="C37" s="1" t="s">
        <v>255</v>
      </c>
      <c r="D37" s="1">
        <v>95</v>
      </c>
      <c r="E37" s="1">
        <v>1</v>
      </c>
      <c r="F37" s="1">
        <f t="shared" si="3"/>
        <v>95</v>
      </c>
      <c r="G37" s="1"/>
      <c r="H37" s="1"/>
      <c r="I37" s="1"/>
      <c r="J37" s="1"/>
      <c r="K37" s="1"/>
      <c r="L37" s="1"/>
    </row>
    <row r="38" spans="1:12" x14ac:dyDescent="0.25">
      <c r="A38" s="1" t="s">
        <v>256</v>
      </c>
      <c r="B38" s="1">
        <v>5</v>
      </c>
      <c r="C38" s="1" t="s">
        <v>257</v>
      </c>
      <c r="D38" s="1">
        <v>33</v>
      </c>
      <c r="E38" s="1">
        <v>5</v>
      </c>
      <c r="F38" s="1">
        <f t="shared" si="3"/>
        <v>165</v>
      </c>
      <c r="G38" s="1"/>
      <c r="H38" s="1"/>
      <c r="I38" s="1"/>
      <c r="J38" s="1"/>
      <c r="K38" s="1"/>
      <c r="L38" s="1"/>
    </row>
    <row r="39" spans="1:12" x14ac:dyDescent="0.25">
      <c r="A39" s="1" t="s">
        <v>258</v>
      </c>
      <c r="B39" s="1">
        <v>10</v>
      </c>
      <c r="C39" s="1" t="s">
        <v>259</v>
      </c>
      <c r="D39" s="1">
        <v>28</v>
      </c>
      <c r="E39" s="1">
        <v>10</v>
      </c>
      <c r="F39" s="1">
        <f t="shared" si="3"/>
        <v>280</v>
      </c>
      <c r="G39" s="1"/>
      <c r="H39" s="1"/>
      <c r="I39" s="1"/>
      <c r="J39" s="1"/>
      <c r="K39" s="1"/>
      <c r="L39" s="1"/>
    </row>
    <row r="40" spans="1:12" x14ac:dyDescent="0.25">
      <c r="A40" s="1" t="s">
        <v>258</v>
      </c>
      <c r="B40" s="1">
        <v>10</v>
      </c>
      <c r="C40" s="1" t="s">
        <v>260</v>
      </c>
      <c r="D40" s="1">
        <v>31</v>
      </c>
      <c r="E40" s="1">
        <v>10</v>
      </c>
      <c r="F40" s="1">
        <f t="shared" si="3"/>
        <v>310</v>
      </c>
      <c r="G40" s="1"/>
      <c r="H40" s="1"/>
      <c r="I40" s="1"/>
      <c r="J40" s="1"/>
      <c r="K40" s="1"/>
      <c r="L40" s="1"/>
    </row>
    <row r="41" spans="1:12" x14ac:dyDescent="0.25">
      <c r="A41" s="1" t="s">
        <v>261</v>
      </c>
      <c r="B41" s="1">
        <v>1</v>
      </c>
      <c r="C41" s="1" t="s">
        <v>262</v>
      </c>
      <c r="D41" s="1">
        <v>97</v>
      </c>
      <c r="E41" s="1">
        <v>1</v>
      </c>
      <c r="F41" s="1">
        <f t="shared" si="3"/>
        <v>97</v>
      </c>
      <c r="G41" s="1"/>
      <c r="H41" s="1"/>
      <c r="I41" s="1"/>
      <c r="J41" s="1"/>
      <c r="K41" s="1"/>
      <c r="L41" s="1"/>
    </row>
    <row r="42" spans="1:12" x14ac:dyDescent="0.25">
      <c r="A42" s="1" t="s">
        <v>256</v>
      </c>
      <c r="B42" s="1">
        <v>2</v>
      </c>
      <c r="C42" s="1" t="s">
        <v>265</v>
      </c>
      <c r="D42" s="1">
        <v>23</v>
      </c>
      <c r="E42" s="1">
        <v>2</v>
      </c>
      <c r="F42" s="1">
        <f t="shared" si="3"/>
        <v>46</v>
      </c>
      <c r="G42" s="1"/>
      <c r="H42" s="1"/>
      <c r="I42" s="1"/>
      <c r="J42" s="1"/>
      <c r="K42" s="1"/>
      <c r="L42" s="1"/>
    </row>
    <row r="43" spans="1:12" x14ac:dyDescent="0.25">
      <c r="A43" s="1" t="s">
        <v>256</v>
      </c>
      <c r="B43" s="1">
        <v>2</v>
      </c>
      <c r="C43" s="1" t="s">
        <v>266</v>
      </c>
      <c r="D43" s="1">
        <v>62</v>
      </c>
      <c r="E43" s="1">
        <v>2</v>
      </c>
      <c r="F43" s="1">
        <f t="shared" si="3"/>
        <v>124</v>
      </c>
      <c r="G43" s="1"/>
      <c r="H43" s="1"/>
      <c r="I43" s="1"/>
      <c r="J43" s="1"/>
      <c r="K43" s="1"/>
      <c r="L43" s="1"/>
    </row>
    <row r="44" spans="1:12" x14ac:dyDescent="0.25">
      <c r="A44" s="1" t="s">
        <v>256</v>
      </c>
      <c r="B44" s="1">
        <v>1</v>
      </c>
      <c r="C44" s="1" t="s">
        <v>267</v>
      </c>
      <c r="D44" s="1">
        <v>1</v>
      </c>
      <c r="E44" s="1">
        <v>160</v>
      </c>
      <c r="F44" s="1">
        <f t="shared" si="3"/>
        <v>160</v>
      </c>
      <c r="G44" s="1"/>
      <c r="H44" s="1"/>
      <c r="I44" s="1"/>
      <c r="J44" s="1"/>
      <c r="K44" s="1"/>
      <c r="L44" s="1"/>
    </row>
    <row r="45" spans="1:12" x14ac:dyDescent="0.25">
      <c r="A45" s="1" t="s">
        <v>268</v>
      </c>
      <c r="B45" s="1">
        <v>5</v>
      </c>
      <c r="C45" s="1" t="s">
        <v>269</v>
      </c>
      <c r="D45" s="1">
        <v>66</v>
      </c>
      <c r="E45" s="1">
        <v>5</v>
      </c>
      <c r="F45" s="1">
        <f t="shared" si="3"/>
        <v>330</v>
      </c>
      <c r="G45" s="1"/>
      <c r="H45" s="1"/>
      <c r="I45" s="1"/>
      <c r="J45" s="1"/>
      <c r="K45" s="1"/>
      <c r="L45" s="1"/>
    </row>
    <row r="46" spans="1:12" x14ac:dyDescent="0.25">
      <c r="A46" s="1" t="s">
        <v>263</v>
      </c>
      <c r="B46" s="1">
        <v>10</v>
      </c>
      <c r="C46" s="1" t="s">
        <v>270</v>
      </c>
      <c r="D46" s="1">
        <v>116</v>
      </c>
      <c r="E46" s="1">
        <v>10</v>
      </c>
      <c r="F46" s="1">
        <f t="shared" si="3"/>
        <v>1160</v>
      </c>
      <c r="G46" s="1"/>
      <c r="H46" s="1"/>
      <c r="I46" s="1"/>
      <c r="J46" s="1"/>
      <c r="K46" s="1"/>
      <c r="L46" s="1"/>
    </row>
    <row r="47" spans="1:12" x14ac:dyDescent="0.25">
      <c r="A47" s="1" t="s">
        <v>268</v>
      </c>
      <c r="B47" s="1">
        <v>4</v>
      </c>
      <c r="C47" s="1" t="s">
        <v>271</v>
      </c>
      <c r="D47" s="1">
        <v>107.5</v>
      </c>
      <c r="E47" s="1">
        <v>4</v>
      </c>
      <c r="F47" s="1">
        <f t="shared" si="3"/>
        <v>430</v>
      </c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>
        <f t="shared" si="3"/>
        <v>0</v>
      </c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>
        <f t="shared" si="3"/>
        <v>0</v>
      </c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>
        <f t="shared" si="3"/>
        <v>0</v>
      </c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>
        <f t="shared" si="3"/>
        <v>0</v>
      </c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>
        <f t="shared" si="3"/>
        <v>0</v>
      </c>
      <c r="G52" s="1"/>
      <c r="H52" s="1"/>
      <c r="I52" s="1"/>
      <c r="J52" s="1"/>
      <c r="K52" s="1"/>
      <c r="L52" s="1"/>
    </row>
    <row r="53" spans="1:12" x14ac:dyDescent="0.25">
      <c r="A53" s="1"/>
      <c r="B53" s="1" t="s">
        <v>90</v>
      </c>
      <c r="C53" s="1"/>
      <c r="D53" s="1"/>
      <c r="E53" s="1"/>
      <c r="F53" s="1">
        <f t="shared" si="3"/>
        <v>0</v>
      </c>
      <c r="G53" s="1"/>
      <c r="H53" s="1"/>
      <c r="I53" s="1"/>
      <c r="J53" s="1"/>
      <c r="K53" s="1"/>
      <c r="L53" s="1"/>
    </row>
    <row r="54" spans="1:12" x14ac:dyDescent="0.25">
      <c r="F54" s="4">
        <f>SUM(F35:F53)</f>
        <v>4213.6900000000005</v>
      </c>
    </row>
    <row r="58" spans="1:12" x14ac:dyDescent="0.25">
      <c r="B58" t="s">
        <v>103</v>
      </c>
    </row>
    <row r="59" spans="1:12" x14ac:dyDescent="0.25">
      <c r="B59" t="s">
        <v>94</v>
      </c>
    </row>
    <row r="60" spans="1:12" x14ac:dyDescent="0.25">
      <c r="B60" t="s">
        <v>95</v>
      </c>
      <c r="H60" t="s">
        <v>96</v>
      </c>
    </row>
    <row r="61" spans="1:12" x14ac:dyDescent="0.25">
      <c r="A61" s="1"/>
      <c r="B61" s="1" t="s">
        <v>97</v>
      </c>
      <c r="C61" s="1" t="s">
        <v>98</v>
      </c>
      <c r="D61" s="1" t="s">
        <v>99</v>
      </c>
      <c r="E61" s="1" t="s">
        <v>100</v>
      </c>
      <c r="F61" s="1" t="s">
        <v>101</v>
      </c>
      <c r="G61" s="1"/>
      <c r="H61" s="1" t="s">
        <v>97</v>
      </c>
      <c r="I61" s="1" t="s">
        <v>98</v>
      </c>
      <c r="J61" s="1" t="s">
        <v>99</v>
      </c>
      <c r="K61" s="1" t="s">
        <v>100</v>
      </c>
      <c r="L61" s="1" t="s">
        <v>101</v>
      </c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 t="s">
        <v>90</v>
      </c>
      <c r="C80" s="1"/>
      <c r="D80" s="1">
        <f>SUM(D62:D79)</f>
        <v>0</v>
      </c>
      <c r="E80" s="1"/>
      <c r="F80" s="1"/>
      <c r="G80" s="1"/>
      <c r="H80" s="1"/>
      <c r="I80" s="1"/>
      <c r="J80" s="1"/>
      <c r="K80" s="1"/>
      <c r="L80" s="1"/>
    </row>
    <row r="85" spans="1:12" x14ac:dyDescent="0.25">
      <c r="B85" t="s">
        <v>105</v>
      </c>
    </row>
    <row r="86" spans="1:12" x14ac:dyDescent="0.25">
      <c r="B86" t="s">
        <v>94</v>
      </c>
    </row>
    <row r="87" spans="1:12" x14ac:dyDescent="0.25">
      <c r="B87" t="s">
        <v>95</v>
      </c>
      <c r="H87" t="s">
        <v>96</v>
      </c>
    </row>
    <row r="88" spans="1:12" x14ac:dyDescent="0.25">
      <c r="A88" s="1"/>
      <c r="B88" s="1" t="s">
        <v>97</v>
      </c>
      <c r="C88" s="1" t="s">
        <v>98</v>
      </c>
      <c r="D88" s="1" t="s">
        <v>99</v>
      </c>
      <c r="E88" s="1" t="s">
        <v>100</v>
      </c>
      <c r="F88" s="1" t="s">
        <v>101</v>
      </c>
      <c r="G88" s="1"/>
      <c r="H88" s="1" t="s">
        <v>97</v>
      </c>
      <c r="I88" s="1" t="s">
        <v>98</v>
      </c>
      <c r="J88" s="1" t="s">
        <v>99</v>
      </c>
      <c r="K88" s="1" t="s">
        <v>100</v>
      </c>
      <c r="L88" s="1" t="s">
        <v>101</v>
      </c>
    </row>
    <row r="89" spans="1:12" x14ac:dyDescent="0.25">
      <c r="A89" s="1"/>
      <c r="B89" s="1">
        <v>1</v>
      </c>
      <c r="C89" s="1" t="s">
        <v>106</v>
      </c>
      <c r="D89" s="1">
        <v>97</v>
      </c>
      <c r="E89" s="1">
        <v>0</v>
      </c>
      <c r="F89" s="1" t="e">
        <f>D89/E89</f>
        <v>#DIV/0!</v>
      </c>
      <c r="G89" s="1"/>
      <c r="H89" s="1">
        <v>1</v>
      </c>
      <c r="I89" s="1" t="s">
        <v>107</v>
      </c>
      <c r="J89" s="1">
        <v>36</v>
      </c>
      <c r="K89" s="1"/>
      <c r="L89" s="1" t="e">
        <f>J89/K89</f>
        <v>#DIV/0!</v>
      </c>
    </row>
    <row r="90" spans="1:12" x14ac:dyDescent="0.25">
      <c r="A90" s="1"/>
      <c r="B90" s="1">
        <v>2</v>
      </c>
      <c r="C90" s="1" t="s">
        <v>104</v>
      </c>
      <c r="D90" s="1">
        <v>56</v>
      </c>
      <c r="E90" s="1">
        <v>0</v>
      </c>
      <c r="F90" s="1" t="e">
        <f>D90/E90</f>
        <v>#DIV/0!</v>
      </c>
      <c r="G90" s="1"/>
      <c r="H90" s="1">
        <v>1</v>
      </c>
      <c r="I90" s="1" t="s">
        <v>108</v>
      </c>
      <c r="J90" s="1">
        <v>120</v>
      </c>
      <c r="K90" s="1"/>
      <c r="L90" s="1" t="e">
        <f t="shared" ref="L90:L106" si="4">J90/K90</f>
        <v>#DIV/0!</v>
      </c>
    </row>
    <row r="91" spans="1:12" x14ac:dyDescent="0.25">
      <c r="A91" s="1"/>
      <c r="B91" s="1">
        <v>1</v>
      </c>
      <c r="C91" s="1" t="s">
        <v>109</v>
      </c>
      <c r="D91" s="1">
        <v>275</v>
      </c>
      <c r="E91" s="1">
        <v>0</v>
      </c>
      <c r="F91" s="1" t="e">
        <f t="shared" ref="F91:F106" si="5">D91/E91</f>
        <v>#DIV/0!</v>
      </c>
      <c r="G91" s="1"/>
      <c r="H91" s="1">
        <v>2</v>
      </c>
      <c r="I91" s="1" t="s">
        <v>110</v>
      </c>
      <c r="J91" s="1">
        <v>158</v>
      </c>
      <c r="K91" s="1"/>
      <c r="L91" s="1" t="e">
        <f t="shared" si="4"/>
        <v>#DIV/0!</v>
      </c>
    </row>
    <row r="92" spans="1:12" x14ac:dyDescent="0.25">
      <c r="A92" s="1"/>
      <c r="B92" s="1">
        <v>4</v>
      </c>
      <c r="C92" s="1" t="s">
        <v>111</v>
      </c>
      <c r="D92" s="1">
        <v>155</v>
      </c>
      <c r="E92" s="1">
        <v>0</v>
      </c>
      <c r="F92" s="1" t="e">
        <f t="shared" si="5"/>
        <v>#DIV/0!</v>
      </c>
      <c r="G92" s="1"/>
      <c r="H92" s="1"/>
      <c r="I92" s="1"/>
      <c r="J92" s="1">
        <v>0</v>
      </c>
      <c r="K92" s="1"/>
      <c r="L92" s="1" t="e">
        <f t="shared" si="4"/>
        <v>#DIV/0!</v>
      </c>
    </row>
    <row r="93" spans="1:12" x14ac:dyDescent="0.25">
      <c r="A93" s="1"/>
      <c r="B93" s="1">
        <v>3</v>
      </c>
      <c r="C93" s="1" t="s">
        <v>102</v>
      </c>
      <c r="D93" s="1">
        <v>42</v>
      </c>
      <c r="E93" s="1">
        <v>0</v>
      </c>
      <c r="F93" s="1" t="e">
        <f t="shared" si="5"/>
        <v>#DIV/0!</v>
      </c>
      <c r="G93" s="1"/>
      <c r="H93" s="1"/>
      <c r="I93" s="1"/>
      <c r="J93" s="1">
        <v>0</v>
      </c>
      <c r="K93" s="1"/>
      <c r="L93" s="1" t="e">
        <f t="shared" si="4"/>
        <v>#DIV/0!</v>
      </c>
    </row>
    <row r="94" spans="1:12" x14ac:dyDescent="0.25">
      <c r="A94" s="1"/>
      <c r="B94" s="1">
        <v>2</v>
      </c>
      <c r="C94" s="1" t="s">
        <v>112</v>
      </c>
      <c r="D94" s="1">
        <v>460</v>
      </c>
      <c r="E94" s="1">
        <v>0</v>
      </c>
      <c r="F94" s="1" t="e">
        <f t="shared" si="5"/>
        <v>#DIV/0!</v>
      </c>
      <c r="G94" s="1"/>
      <c r="H94" s="1"/>
      <c r="I94" s="1"/>
      <c r="J94" s="1">
        <v>0</v>
      </c>
      <c r="K94" s="1"/>
      <c r="L94" s="1" t="e">
        <f t="shared" si="4"/>
        <v>#DIV/0!</v>
      </c>
    </row>
    <row r="95" spans="1:12" x14ac:dyDescent="0.25">
      <c r="A95" s="1"/>
      <c r="B95" s="1">
        <v>1</v>
      </c>
      <c r="C95" s="1" t="s">
        <v>113</v>
      </c>
      <c r="D95" s="1">
        <v>130</v>
      </c>
      <c r="E95" s="1">
        <v>0</v>
      </c>
      <c r="F95" s="1" t="e">
        <f t="shared" si="5"/>
        <v>#DIV/0!</v>
      </c>
      <c r="G95" s="1"/>
      <c r="H95" s="1"/>
      <c r="I95" s="1"/>
      <c r="J95" s="1">
        <v>0</v>
      </c>
      <c r="K95" s="1"/>
      <c r="L95" s="1" t="e">
        <f t="shared" si="4"/>
        <v>#DIV/0!</v>
      </c>
    </row>
    <row r="96" spans="1:12" x14ac:dyDescent="0.25">
      <c r="A96" s="1"/>
      <c r="B96" s="1">
        <v>12</v>
      </c>
      <c r="C96" s="1" t="s">
        <v>114</v>
      </c>
      <c r="D96" s="1">
        <v>2391.7199999999998</v>
      </c>
      <c r="E96" s="1">
        <v>0</v>
      </c>
      <c r="F96" s="1" t="e">
        <f t="shared" si="5"/>
        <v>#DIV/0!</v>
      </c>
      <c r="G96" s="1"/>
      <c r="H96" s="1"/>
      <c r="I96" s="1"/>
      <c r="J96" s="1">
        <v>0</v>
      </c>
      <c r="K96" s="1"/>
      <c r="L96" s="1" t="e">
        <f t="shared" si="4"/>
        <v>#DIV/0!</v>
      </c>
    </row>
    <row r="97" spans="1:12" x14ac:dyDescent="0.25">
      <c r="A97" s="1"/>
      <c r="B97" s="1">
        <v>30</v>
      </c>
      <c r="C97" s="1" t="s">
        <v>115</v>
      </c>
      <c r="D97" s="1">
        <v>1365.3</v>
      </c>
      <c r="E97" s="1">
        <v>0</v>
      </c>
      <c r="F97" s="1" t="e">
        <f t="shared" si="5"/>
        <v>#DIV/0!</v>
      </c>
      <c r="G97" s="1"/>
      <c r="H97" s="1"/>
      <c r="I97" s="1"/>
      <c r="J97" s="1">
        <v>0</v>
      </c>
      <c r="K97" s="1"/>
      <c r="L97" s="1" t="e">
        <f t="shared" si="4"/>
        <v>#DIV/0!</v>
      </c>
    </row>
    <row r="98" spans="1:12" x14ac:dyDescent="0.25">
      <c r="A98" s="1"/>
      <c r="B98" s="1">
        <v>20</v>
      </c>
      <c r="C98" s="1" t="s">
        <v>116</v>
      </c>
      <c r="D98" s="1">
        <v>910.2</v>
      </c>
      <c r="E98" s="1">
        <v>0</v>
      </c>
      <c r="F98" s="1" t="e">
        <f t="shared" si="5"/>
        <v>#DIV/0!</v>
      </c>
      <c r="G98" s="1"/>
      <c r="H98" s="1"/>
      <c r="I98" s="1"/>
      <c r="J98" s="1">
        <v>0</v>
      </c>
      <c r="K98" s="1"/>
      <c r="L98" s="1" t="e">
        <f t="shared" si="4"/>
        <v>#DIV/0!</v>
      </c>
    </row>
    <row r="99" spans="1:12" x14ac:dyDescent="0.25">
      <c r="A99" s="1"/>
      <c r="B99" s="1">
        <v>10</v>
      </c>
      <c r="C99" s="1" t="s">
        <v>117</v>
      </c>
      <c r="D99" s="1">
        <v>910.2</v>
      </c>
      <c r="E99" s="1">
        <v>0</v>
      </c>
      <c r="F99" s="1" t="e">
        <f t="shared" si="5"/>
        <v>#DIV/0!</v>
      </c>
      <c r="G99" s="1"/>
      <c r="H99" s="1"/>
      <c r="I99" s="1"/>
      <c r="J99" s="1">
        <v>0</v>
      </c>
      <c r="K99" s="1"/>
      <c r="L99" s="1" t="e">
        <f t="shared" si="4"/>
        <v>#DIV/0!</v>
      </c>
    </row>
    <row r="100" spans="1:12" x14ac:dyDescent="0.25">
      <c r="A100" s="1"/>
      <c r="B100" s="1">
        <v>10</v>
      </c>
      <c r="C100" s="1" t="s">
        <v>118</v>
      </c>
      <c r="D100" s="1">
        <v>455.1</v>
      </c>
      <c r="E100" s="1">
        <v>0</v>
      </c>
      <c r="F100" s="1" t="e">
        <f t="shared" si="5"/>
        <v>#DIV/0!</v>
      </c>
      <c r="G100" s="1"/>
      <c r="H100" s="1"/>
      <c r="I100" s="1"/>
      <c r="J100" s="1">
        <v>0</v>
      </c>
      <c r="K100" s="1"/>
      <c r="L100" s="1" t="e">
        <f t="shared" si="4"/>
        <v>#DIV/0!</v>
      </c>
    </row>
    <row r="101" spans="1:12" x14ac:dyDescent="0.25">
      <c r="A101" s="1"/>
      <c r="B101" s="1">
        <v>3</v>
      </c>
      <c r="C101" s="1" t="s">
        <v>119</v>
      </c>
      <c r="D101" s="1">
        <v>752</v>
      </c>
      <c r="E101" s="1">
        <v>0</v>
      </c>
      <c r="F101" s="1" t="e">
        <f t="shared" si="5"/>
        <v>#DIV/0!</v>
      </c>
      <c r="G101" s="1"/>
      <c r="H101" s="1"/>
      <c r="I101" s="1"/>
      <c r="J101" s="1">
        <v>0</v>
      </c>
      <c r="K101" s="1"/>
      <c r="L101" s="1" t="e">
        <f t="shared" si="4"/>
        <v>#DIV/0!</v>
      </c>
    </row>
    <row r="102" spans="1:12" x14ac:dyDescent="0.25">
      <c r="A102" s="1"/>
      <c r="B102" s="1">
        <v>18</v>
      </c>
      <c r="C102" s="1" t="s">
        <v>120</v>
      </c>
      <c r="D102" s="1">
        <v>427</v>
      </c>
      <c r="E102" s="1">
        <v>0</v>
      </c>
      <c r="F102" s="1" t="e">
        <f t="shared" si="5"/>
        <v>#DIV/0!</v>
      </c>
      <c r="G102" s="1"/>
      <c r="H102" s="1"/>
      <c r="I102" s="1"/>
      <c r="J102" s="1">
        <v>0</v>
      </c>
      <c r="K102" s="1"/>
      <c r="L102" s="1" t="e">
        <f t="shared" si="4"/>
        <v>#DIV/0!</v>
      </c>
    </row>
    <row r="103" spans="1:12" x14ac:dyDescent="0.25">
      <c r="A103" s="1"/>
      <c r="B103" s="1"/>
      <c r="C103" s="1"/>
      <c r="D103" s="1">
        <f t="shared" ref="D103:D106" si="6">SUM(W103:Y103)</f>
        <v>0</v>
      </c>
      <c r="E103" s="1">
        <v>0</v>
      </c>
      <c r="F103" s="1" t="e">
        <f t="shared" si="5"/>
        <v>#DIV/0!</v>
      </c>
      <c r="G103" s="1"/>
      <c r="H103" s="1"/>
      <c r="I103" s="1"/>
      <c r="J103" s="1">
        <v>0</v>
      </c>
      <c r="K103" s="1"/>
      <c r="L103" s="1" t="e">
        <f t="shared" si="4"/>
        <v>#DIV/0!</v>
      </c>
    </row>
    <row r="104" spans="1:12" x14ac:dyDescent="0.25">
      <c r="A104" s="1"/>
      <c r="B104" s="1"/>
      <c r="C104" s="1"/>
      <c r="D104" s="1">
        <f t="shared" si="6"/>
        <v>0</v>
      </c>
      <c r="E104" s="1">
        <v>0</v>
      </c>
      <c r="F104" s="1" t="e">
        <f t="shared" si="5"/>
        <v>#DIV/0!</v>
      </c>
      <c r="G104" s="1"/>
      <c r="H104" s="1"/>
      <c r="I104" s="1"/>
      <c r="J104" s="1">
        <v>0</v>
      </c>
      <c r="K104" s="1"/>
      <c r="L104" s="1" t="e">
        <f t="shared" si="4"/>
        <v>#DIV/0!</v>
      </c>
    </row>
    <row r="105" spans="1:12" x14ac:dyDescent="0.25">
      <c r="A105" s="1"/>
      <c r="B105" s="1"/>
      <c r="C105" s="1"/>
      <c r="D105" s="1">
        <f t="shared" si="6"/>
        <v>0</v>
      </c>
      <c r="E105" s="1">
        <v>0</v>
      </c>
      <c r="F105" s="1" t="e">
        <f t="shared" si="5"/>
        <v>#DIV/0!</v>
      </c>
      <c r="G105" s="1"/>
      <c r="H105" s="1"/>
      <c r="I105" s="1"/>
      <c r="J105" s="1">
        <v>0</v>
      </c>
      <c r="K105" s="1"/>
      <c r="L105" s="1" t="e">
        <f t="shared" si="4"/>
        <v>#DIV/0!</v>
      </c>
    </row>
    <row r="106" spans="1:12" x14ac:dyDescent="0.25">
      <c r="A106" s="1"/>
      <c r="B106" s="1"/>
      <c r="C106" s="1"/>
      <c r="D106" s="1">
        <f t="shared" si="6"/>
        <v>0</v>
      </c>
      <c r="E106" s="1">
        <v>0</v>
      </c>
      <c r="F106" s="1" t="e">
        <f t="shared" si="5"/>
        <v>#DIV/0!</v>
      </c>
      <c r="G106" s="1"/>
      <c r="H106" s="1"/>
      <c r="I106" s="1"/>
      <c r="J106" s="1">
        <v>0</v>
      </c>
      <c r="K106" s="1"/>
      <c r="L106" s="1" t="e">
        <f t="shared" si="4"/>
        <v>#DIV/0!</v>
      </c>
    </row>
    <row r="107" spans="1:12" x14ac:dyDescent="0.25">
      <c r="A107" s="1"/>
      <c r="B107" s="1" t="s">
        <v>90</v>
      </c>
      <c r="C107" s="1"/>
      <c r="D107" s="1">
        <f>SUM(D89:D106)</f>
        <v>8426.52</v>
      </c>
      <c r="E107" s="1"/>
      <c r="F107" s="1"/>
      <c r="G107" s="1"/>
      <c r="H107" s="1" t="s">
        <v>90</v>
      </c>
      <c r="I107" s="1"/>
      <c r="J107" s="1">
        <f>SUM(J89:J106)</f>
        <v>314</v>
      </c>
      <c r="K107" s="1"/>
      <c r="L107" s="1"/>
    </row>
    <row r="112" spans="1:12" x14ac:dyDescent="0.25">
      <c r="B112" t="s">
        <v>121</v>
      </c>
    </row>
    <row r="113" spans="1:12" x14ac:dyDescent="0.25">
      <c r="B113" t="s">
        <v>94</v>
      </c>
    </row>
    <row r="114" spans="1:12" x14ac:dyDescent="0.25">
      <c r="B114" t="s">
        <v>95</v>
      </c>
      <c r="H114" t="s">
        <v>96</v>
      </c>
    </row>
    <row r="115" spans="1:12" x14ac:dyDescent="0.25">
      <c r="A115" s="1"/>
      <c r="B115" s="1" t="s">
        <v>97</v>
      </c>
      <c r="C115" s="1" t="s">
        <v>98</v>
      </c>
      <c r="D115" s="1" t="s">
        <v>99</v>
      </c>
      <c r="E115" s="1" t="s">
        <v>100</v>
      </c>
      <c r="F115" s="1" t="s">
        <v>101</v>
      </c>
      <c r="G115" s="1"/>
      <c r="H115" s="1" t="s">
        <v>97</v>
      </c>
      <c r="I115" s="1" t="s">
        <v>98</v>
      </c>
      <c r="J115" s="1" t="s">
        <v>99</v>
      </c>
      <c r="K115" s="1" t="s">
        <v>100</v>
      </c>
      <c r="L115" s="1" t="s">
        <v>101</v>
      </c>
    </row>
    <row r="116" spans="1:12" x14ac:dyDescent="0.25">
      <c r="A116" s="1"/>
      <c r="B116" s="1"/>
      <c r="C116" s="1"/>
      <c r="D116" s="1">
        <v>0</v>
      </c>
      <c r="E116" s="1">
        <v>0</v>
      </c>
      <c r="F116" s="1" t="e">
        <f>D116/E116</f>
        <v>#DIV/0!</v>
      </c>
      <c r="G116" s="1"/>
      <c r="H116" s="1"/>
      <c r="I116" s="1"/>
      <c r="J116" s="1">
        <v>0</v>
      </c>
      <c r="K116" s="1"/>
      <c r="L116" s="1" t="e">
        <f>J116/K116</f>
        <v>#DIV/0!</v>
      </c>
    </row>
    <row r="117" spans="1:12" x14ac:dyDescent="0.25">
      <c r="A117" s="1"/>
      <c r="B117" s="1"/>
      <c r="C117" s="1"/>
      <c r="D117" s="1">
        <v>0</v>
      </c>
      <c r="E117" s="1">
        <v>0</v>
      </c>
      <c r="F117" s="1" t="e">
        <f>D117/E117</f>
        <v>#DIV/0!</v>
      </c>
      <c r="G117" s="1"/>
      <c r="H117" s="1"/>
      <c r="I117" s="1"/>
      <c r="J117" s="1">
        <v>0</v>
      </c>
      <c r="K117" s="1"/>
      <c r="L117" s="1" t="e">
        <f t="shared" ref="L117:L133" si="7">J117/K117</f>
        <v>#DIV/0!</v>
      </c>
    </row>
    <row r="118" spans="1:12" x14ac:dyDescent="0.25">
      <c r="A118" s="1"/>
      <c r="B118" s="1"/>
      <c r="C118" s="1"/>
      <c r="D118" s="1">
        <v>0</v>
      </c>
      <c r="E118" s="1">
        <v>0</v>
      </c>
      <c r="F118" s="1" t="e">
        <f t="shared" ref="F118:F133" si="8">D118/E118</f>
        <v>#DIV/0!</v>
      </c>
      <c r="G118" s="1"/>
      <c r="H118" s="1"/>
      <c r="I118" s="1"/>
      <c r="J118" s="1">
        <v>0</v>
      </c>
      <c r="K118" s="1"/>
      <c r="L118" s="1" t="e">
        <f t="shared" si="7"/>
        <v>#DIV/0!</v>
      </c>
    </row>
    <row r="119" spans="1:12" x14ac:dyDescent="0.25">
      <c r="A119" s="1"/>
      <c r="B119" s="1"/>
      <c r="C119" s="1"/>
      <c r="D119" s="1">
        <v>0</v>
      </c>
      <c r="E119" s="1">
        <v>0</v>
      </c>
      <c r="F119" s="1" t="e">
        <f t="shared" si="8"/>
        <v>#DIV/0!</v>
      </c>
      <c r="G119" s="1"/>
      <c r="H119" s="1"/>
      <c r="I119" s="1"/>
      <c r="J119" s="1">
        <v>0</v>
      </c>
      <c r="K119" s="1"/>
      <c r="L119" s="1" t="e">
        <f t="shared" si="7"/>
        <v>#DIV/0!</v>
      </c>
    </row>
    <row r="120" spans="1:12" x14ac:dyDescent="0.25">
      <c r="A120" s="1"/>
      <c r="B120" s="1"/>
      <c r="C120" s="1"/>
      <c r="D120" s="1">
        <v>0</v>
      </c>
      <c r="E120" s="1">
        <v>0</v>
      </c>
      <c r="F120" s="1" t="e">
        <f t="shared" si="8"/>
        <v>#DIV/0!</v>
      </c>
      <c r="G120" s="1"/>
      <c r="H120" s="1"/>
      <c r="I120" s="1"/>
      <c r="J120" s="1">
        <v>0</v>
      </c>
      <c r="K120" s="1"/>
      <c r="L120" s="1" t="e">
        <f t="shared" si="7"/>
        <v>#DIV/0!</v>
      </c>
    </row>
    <row r="121" spans="1:12" x14ac:dyDescent="0.25">
      <c r="A121" s="1"/>
      <c r="B121" s="1"/>
      <c r="C121" s="1"/>
      <c r="D121" s="1">
        <v>0</v>
      </c>
      <c r="E121" s="1">
        <v>0</v>
      </c>
      <c r="F121" s="1" t="e">
        <f t="shared" si="8"/>
        <v>#DIV/0!</v>
      </c>
      <c r="G121" s="1"/>
      <c r="H121" s="1"/>
      <c r="I121" s="1"/>
      <c r="J121" s="1">
        <v>0</v>
      </c>
      <c r="K121" s="1"/>
      <c r="L121" s="1" t="e">
        <f t="shared" si="7"/>
        <v>#DIV/0!</v>
      </c>
    </row>
    <row r="122" spans="1:12" x14ac:dyDescent="0.25">
      <c r="A122" s="1"/>
      <c r="B122" s="1"/>
      <c r="C122" s="1"/>
      <c r="D122" s="1">
        <v>0</v>
      </c>
      <c r="E122" s="1">
        <v>0</v>
      </c>
      <c r="F122" s="1" t="e">
        <f t="shared" si="8"/>
        <v>#DIV/0!</v>
      </c>
      <c r="G122" s="1"/>
      <c r="H122" s="1"/>
      <c r="I122" s="1"/>
      <c r="J122" s="1">
        <v>0</v>
      </c>
      <c r="K122" s="1"/>
      <c r="L122" s="1" t="e">
        <f t="shared" si="7"/>
        <v>#DIV/0!</v>
      </c>
    </row>
    <row r="123" spans="1:12" x14ac:dyDescent="0.25">
      <c r="A123" s="1"/>
      <c r="B123" s="1"/>
      <c r="C123" s="1"/>
      <c r="D123" s="1">
        <v>0</v>
      </c>
      <c r="E123" s="1">
        <v>0</v>
      </c>
      <c r="F123" s="1" t="e">
        <f t="shared" si="8"/>
        <v>#DIV/0!</v>
      </c>
      <c r="G123" s="1"/>
      <c r="H123" s="1"/>
      <c r="I123" s="1"/>
      <c r="J123" s="1">
        <v>0</v>
      </c>
      <c r="K123" s="1"/>
      <c r="L123" s="1" t="e">
        <f t="shared" si="7"/>
        <v>#DIV/0!</v>
      </c>
    </row>
    <row r="124" spans="1:12" x14ac:dyDescent="0.25">
      <c r="A124" s="1"/>
      <c r="B124" s="1"/>
      <c r="C124" s="1"/>
      <c r="D124" s="1">
        <v>0</v>
      </c>
      <c r="E124" s="1">
        <v>0</v>
      </c>
      <c r="F124" s="1" t="e">
        <f t="shared" si="8"/>
        <v>#DIV/0!</v>
      </c>
      <c r="G124" s="1"/>
      <c r="H124" s="1"/>
      <c r="I124" s="1"/>
      <c r="J124" s="1">
        <v>0</v>
      </c>
      <c r="K124" s="1"/>
      <c r="L124" s="1" t="e">
        <f t="shared" si="7"/>
        <v>#DIV/0!</v>
      </c>
    </row>
    <row r="125" spans="1:12" x14ac:dyDescent="0.25">
      <c r="A125" s="1"/>
      <c r="B125" s="1"/>
      <c r="C125" s="1"/>
      <c r="D125" s="1">
        <v>0</v>
      </c>
      <c r="E125" s="1">
        <v>0</v>
      </c>
      <c r="F125" s="1" t="e">
        <f t="shared" si="8"/>
        <v>#DIV/0!</v>
      </c>
      <c r="G125" s="1"/>
      <c r="H125" s="1"/>
      <c r="I125" s="1"/>
      <c r="J125" s="1">
        <v>0</v>
      </c>
      <c r="K125" s="1"/>
      <c r="L125" s="1" t="e">
        <f t="shared" si="7"/>
        <v>#DIV/0!</v>
      </c>
    </row>
    <row r="126" spans="1:12" x14ac:dyDescent="0.25">
      <c r="A126" s="1"/>
      <c r="B126" s="1"/>
      <c r="C126" s="1"/>
      <c r="D126" s="1">
        <v>0</v>
      </c>
      <c r="E126" s="1">
        <v>0</v>
      </c>
      <c r="F126" s="1" t="e">
        <f t="shared" si="8"/>
        <v>#DIV/0!</v>
      </c>
      <c r="G126" s="1"/>
      <c r="H126" s="1"/>
      <c r="I126" s="1"/>
      <c r="J126" s="1">
        <v>0</v>
      </c>
      <c r="K126" s="1"/>
      <c r="L126" s="1" t="e">
        <f t="shared" si="7"/>
        <v>#DIV/0!</v>
      </c>
    </row>
    <row r="127" spans="1:12" x14ac:dyDescent="0.25">
      <c r="A127" s="1"/>
      <c r="B127" s="1"/>
      <c r="C127" s="1"/>
      <c r="D127" s="1">
        <v>0</v>
      </c>
      <c r="E127" s="1">
        <v>0</v>
      </c>
      <c r="F127" s="1" t="e">
        <f t="shared" si="8"/>
        <v>#DIV/0!</v>
      </c>
      <c r="G127" s="1"/>
      <c r="H127" s="1"/>
      <c r="I127" s="1"/>
      <c r="J127" s="1">
        <v>0</v>
      </c>
      <c r="K127" s="1"/>
      <c r="L127" s="1" t="e">
        <f t="shared" si="7"/>
        <v>#DIV/0!</v>
      </c>
    </row>
    <row r="128" spans="1:12" x14ac:dyDescent="0.25">
      <c r="A128" s="1"/>
      <c r="B128" s="1"/>
      <c r="C128" s="1"/>
      <c r="D128" s="1">
        <f t="shared" ref="D128:D133" si="9">SUM(W128:Y128)</f>
        <v>0</v>
      </c>
      <c r="E128" s="1">
        <v>0</v>
      </c>
      <c r="F128" s="1" t="e">
        <f t="shared" si="8"/>
        <v>#DIV/0!</v>
      </c>
      <c r="G128" s="1"/>
      <c r="H128" s="1"/>
      <c r="I128" s="1"/>
      <c r="J128" s="1">
        <v>0</v>
      </c>
      <c r="K128" s="1"/>
      <c r="L128" s="1" t="e">
        <f t="shared" si="7"/>
        <v>#DIV/0!</v>
      </c>
    </row>
    <row r="129" spans="1:12" x14ac:dyDescent="0.25">
      <c r="A129" s="1"/>
      <c r="B129" s="1"/>
      <c r="C129" s="1"/>
      <c r="D129" s="1">
        <f t="shared" si="9"/>
        <v>0</v>
      </c>
      <c r="E129" s="1">
        <v>0</v>
      </c>
      <c r="F129" s="1" t="e">
        <f t="shared" si="8"/>
        <v>#DIV/0!</v>
      </c>
      <c r="G129" s="1"/>
      <c r="H129" s="1"/>
      <c r="I129" s="1"/>
      <c r="J129" s="1">
        <v>0</v>
      </c>
      <c r="K129" s="1"/>
      <c r="L129" s="1" t="e">
        <f t="shared" si="7"/>
        <v>#DIV/0!</v>
      </c>
    </row>
    <row r="130" spans="1:12" x14ac:dyDescent="0.25">
      <c r="A130" s="1"/>
      <c r="B130" s="1"/>
      <c r="C130" s="1"/>
      <c r="D130" s="1">
        <f t="shared" si="9"/>
        <v>0</v>
      </c>
      <c r="E130" s="1">
        <v>0</v>
      </c>
      <c r="F130" s="1" t="e">
        <f t="shared" si="8"/>
        <v>#DIV/0!</v>
      </c>
      <c r="G130" s="1"/>
      <c r="H130" s="1"/>
      <c r="I130" s="1"/>
      <c r="J130" s="1">
        <v>0</v>
      </c>
      <c r="K130" s="1"/>
      <c r="L130" s="1" t="e">
        <f t="shared" si="7"/>
        <v>#DIV/0!</v>
      </c>
    </row>
    <row r="131" spans="1:12" x14ac:dyDescent="0.25">
      <c r="A131" s="1"/>
      <c r="B131" s="1"/>
      <c r="C131" s="1"/>
      <c r="D131" s="1">
        <f t="shared" si="9"/>
        <v>0</v>
      </c>
      <c r="E131" s="1">
        <v>0</v>
      </c>
      <c r="F131" s="1" t="e">
        <f t="shared" si="8"/>
        <v>#DIV/0!</v>
      </c>
      <c r="G131" s="1"/>
      <c r="H131" s="1"/>
      <c r="I131" s="1"/>
      <c r="J131" s="1">
        <v>0</v>
      </c>
      <c r="K131" s="1"/>
      <c r="L131" s="1" t="e">
        <f t="shared" si="7"/>
        <v>#DIV/0!</v>
      </c>
    </row>
    <row r="132" spans="1:12" x14ac:dyDescent="0.25">
      <c r="A132" s="1"/>
      <c r="B132" s="1"/>
      <c r="C132" s="1"/>
      <c r="D132" s="1">
        <f t="shared" si="9"/>
        <v>0</v>
      </c>
      <c r="E132" s="1">
        <v>0</v>
      </c>
      <c r="F132" s="1" t="e">
        <f t="shared" si="8"/>
        <v>#DIV/0!</v>
      </c>
      <c r="G132" s="1"/>
      <c r="H132" s="1"/>
      <c r="I132" s="1"/>
      <c r="J132" s="1">
        <v>0</v>
      </c>
      <c r="K132" s="1"/>
      <c r="L132" s="1" t="e">
        <f t="shared" si="7"/>
        <v>#DIV/0!</v>
      </c>
    </row>
    <row r="133" spans="1:12" x14ac:dyDescent="0.25">
      <c r="A133" s="1"/>
      <c r="B133" s="1"/>
      <c r="C133" s="1"/>
      <c r="D133" s="1">
        <f t="shared" si="9"/>
        <v>0</v>
      </c>
      <c r="E133" s="1">
        <v>0</v>
      </c>
      <c r="F133" s="1" t="e">
        <f t="shared" si="8"/>
        <v>#DIV/0!</v>
      </c>
      <c r="G133" s="1"/>
      <c r="H133" s="1"/>
      <c r="I133" s="1"/>
      <c r="J133" s="1">
        <v>0</v>
      </c>
      <c r="K133" s="1"/>
      <c r="L133" s="1" t="e">
        <f t="shared" si="7"/>
        <v>#DIV/0!</v>
      </c>
    </row>
    <row r="134" spans="1:12" x14ac:dyDescent="0.25">
      <c r="A134" s="1"/>
      <c r="B134" s="1" t="s">
        <v>90</v>
      </c>
      <c r="C134" s="1"/>
      <c r="D134" s="1">
        <f>SUM(D116:D133)</f>
        <v>0</v>
      </c>
      <c r="E134" s="1"/>
      <c r="F134" s="1"/>
      <c r="G134" s="1"/>
      <c r="H134" s="1" t="s">
        <v>90</v>
      </c>
      <c r="I134" s="1"/>
      <c r="J134" s="1">
        <f>SUM(J116:J133)</f>
        <v>0</v>
      </c>
      <c r="K134" s="1"/>
      <c r="L134" s="1"/>
    </row>
    <row r="139" spans="1:12" x14ac:dyDescent="0.25">
      <c r="B139" t="s">
        <v>122</v>
      </c>
    </row>
    <row r="140" spans="1:12" x14ac:dyDescent="0.25">
      <c r="B140" t="s">
        <v>94</v>
      </c>
    </row>
    <row r="141" spans="1:12" x14ac:dyDescent="0.25">
      <c r="B141" t="s">
        <v>95</v>
      </c>
      <c r="H141" t="s">
        <v>96</v>
      </c>
    </row>
    <row r="142" spans="1:12" x14ac:dyDescent="0.25">
      <c r="A142" s="1"/>
      <c r="B142" s="1" t="s">
        <v>97</v>
      </c>
      <c r="C142" s="1" t="s">
        <v>98</v>
      </c>
      <c r="D142" s="1" t="s">
        <v>99</v>
      </c>
      <c r="E142" s="1" t="s">
        <v>100</v>
      </c>
      <c r="F142" s="1" t="s">
        <v>101</v>
      </c>
      <c r="G142" s="1"/>
      <c r="H142" s="1" t="s">
        <v>97</v>
      </c>
      <c r="I142" s="1" t="s">
        <v>98</v>
      </c>
      <c r="J142" s="1" t="s">
        <v>99</v>
      </c>
      <c r="K142" s="1" t="s">
        <v>100</v>
      </c>
      <c r="L142" s="1" t="s">
        <v>101</v>
      </c>
    </row>
    <row r="143" spans="1:12" x14ac:dyDescent="0.25">
      <c r="A143" s="1"/>
      <c r="B143" s="1">
        <v>5</v>
      </c>
      <c r="C143" s="1" t="s">
        <v>102</v>
      </c>
      <c r="D143" s="1">
        <v>14</v>
      </c>
      <c r="E143" s="1" t="s">
        <v>123</v>
      </c>
      <c r="F143" s="1" t="e">
        <f>D143/E143</f>
        <v>#VALUE!</v>
      </c>
      <c r="G143" s="1"/>
      <c r="H143" s="1"/>
      <c r="I143" s="1"/>
      <c r="J143" s="1">
        <v>0</v>
      </c>
      <c r="K143" s="1"/>
      <c r="L143" s="1" t="e">
        <f>J143/K143</f>
        <v>#DIV/0!</v>
      </c>
    </row>
    <row r="144" spans="1:12" x14ac:dyDescent="0.25">
      <c r="A144" s="1"/>
      <c r="B144" s="1">
        <v>1</v>
      </c>
      <c r="C144" s="1" t="s">
        <v>124</v>
      </c>
      <c r="D144" s="1">
        <v>165</v>
      </c>
      <c r="E144" s="1">
        <v>0</v>
      </c>
      <c r="F144" s="1" t="e">
        <f>D144/E144</f>
        <v>#DIV/0!</v>
      </c>
      <c r="G144" s="1"/>
      <c r="H144" s="1"/>
      <c r="I144" s="1"/>
      <c r="J144" s="1">
        <v>0</v>
      </c>
      <c r="K144" s="1"/>
      <c r="L144" s="1" t="e">
        <f t="shared" ref="L144:L160" si="10">J144/K144</f>
        <v>#DIV/0!</v>
      </c>
    </row>
    <row r="145" spans="1:12" x14ac:dyDescent="0.25">
      <c r="A145" s="1"/>
      <c r="B145" s="1"/>
      <c r="C145" s="1"/>
      <c r="D145" s="1"/>
      <c r="E145" s="1">
        <v>0</v>
      </c>
      <c r="F145" s="1" t="e">
        <f t="shared" ref="F145:F160" si="11">D145/E145</f>
        <v>#DIV/0!</v>
      </c>
      <c r="G145" s="1"/>
      <c r="H145" s="1"/>
      <c r="I145" s="1"/>
      <c r="J145" s="1">
        <v>0</v>
      </c>
      <c r="K145" s="1"/>
      <c r="L145" s="1" t="e">
        <f t="shared" si="10"/>
        <v>#DIV/0!</v>
      </c>
    </row>
    <row r="146" spans="1:12" x14ac:dyDescent="0.25">
      <c r="A146" s="1"/>
      <c r="B146" s="1"/>
      <c r="C146" s="1"/>
      <c r="D146" s="1">
        <v>0</v>
      </c>
      <c r="E146" s="1">
        <v>0</v>
      </c>
      <c r="F146" s="1" t="e">
        <f t="shared" si="11"/>
        <v>#DIV/0!</v>
      </c>
      <c r="G146" s="1"/>
      <c r="H146" s="1"/>
      <c r="I146" s="1"/>
      <c r="J146" s="1">
        <v>0</v>
      </c>
      <c r="K146" s="1"/>
      <c r="L146" s="1" t="e">
        <f t="shared" si="10"/>
        <v>#DIV/0!</v>
      </c>
    </row>
    <row r="147" spans="1:12" x14ac:dyDescent="0.25">
      <c r="A147" s="1"/>
      <c r="B147" s="1"/>
      <c r="C147" s="1"/>
      <c r="D147" s="1">
        <v>0</v>
      </c>
      <c r="E147" s="1">
        <v>0</v>
      </c>
      <c r="F147" s="1" t="e">
        <f t="shared" si="11"/>
        <v>#DIV/0!</v>
      </c>
      <c r="G147" s="1"/>
      <c r="H147" s="1"/>
      <c r="I147" s="1"/>
      <c r="J147" s="1">
        <v>0</v>
      </c>
      <c r="K147" s="1"/>
      <c r="L147" s="1" t="e">
        <f t="shared" si="10"/>
        <v>#DIV/0!</v>
      </c>
    </row>
    <row r="148" spans="1:12" x14ac:dyDescent="0.25">
      <c r="A148" s="1"/>
      <c r="B148" s="1"/>
      <c r="C148" s="1"/>
      <c r="D148" s="1">
        <v>0</v>
      </c>
      <c r="E148" s="1">
        <v>0</v>
      </c>
      <c r="F148" s="1" t="e">
        <f t="shared" si="11"/>
        <v>#DIV/0!</v>
      </c>
      <c r="G148" s="1"/>
      <c r="H148" s="1"/>
      <c r="I148" s="1"/>
      <c r="J148" s="1">
        <v>0</v>
      </c>
      <c r="K148" s="1"/>
      <c r="L148" s="1" t="e">
        <f t="shared" si="10"/>
        <v>#DIV/0!</v>
      </c>
    </row>
    <row r="149" spans="1:12" x14ac:dyDescent="0.25">
      <c r="A149" s="1"/>
      <c r="B149" s="1"/>
      <c r="C149" s="1"/>
      <c r="D149" s="1">
        <v>0</v>
      </c>
      <c r="E149" s="1">
        <v>0</v>
      </c>
      <c r="F149" s="1" t="e">
        <f t="shared" si="11"/>
        <v>#DIV/0!</v>
      </c>
      <c r="G149" s="1"/>
      <c r="H149" s="1"/>
      <c r="I149" s="1"/>
      <c r="J149" s="1">
        <v>0</v>
      </c>
      <c r="K149" s="1"/>
      <c r="L149" s="1" t="e">
        <f t="shared" si="10"/>
        <v>#DIV/0!</v>
      </c>
    </row>
    <row r="150" spans="1:12" x14ac:dyDescent="0.25">
      <c r="A150" s="1"/>
      <c r="B150" s="1"/>
      <c r="C150" s="1"/>
      <c r="D150" s="1">
        <v>0</v>
      </c>
      <c r="E150" s="1">
        <v>0</v>
      </c>
      <c r="F150" s="1" t="e">
        <f t="shared" si="11"/>
        <v>#DIV/0!</v>
      </c>
      <c r="G150" s="1"/>
      <c r="H150" s="1"/>
      <c r="I150" s="1"/>
      <c r="J150" s="1">
        <v>0</v>
      </c>
      <c r="K150" s="1"/>
      <c r="L150" s="1" t="e">
        <f t="shared" si="10"/>
        <v>#DIV/0!</v>
      </c>
    </row>
    <row r="151" spans="1:12" x14ac:dyDescent="0.25">
      <c r="A151" s="1"/>
      <c r="B151" s="1"/>
      <c r="C151" s="1"/>
      <c r="D151" s="1">
        <v>0</v>
      </c>
      <c r="E151" s="1">
        <v>0</v>
      </c>
      <c r="F151" s="1" t="e">
        <f t="shared" si="11"/>
        <v>#DIV/0!</v>
      </c>
      <c r="G151" s="1"/>
      <c r="H151" s="1"/>
      <c r="I151" s="1"/>
      <c r="J151" s="1">
        <v>0</v>
      </c>
      <c r="K151" s="1"/>
      <c r="L151" s="1" t="e">
        <f t="shared" si="10"/>
        <v>#DIV/0!</v>
      </c>
    </row>
    <row r="152" spans="1:12" x14ac:dyDescent="0.25">
      <c r="A152" s="1"/>
      <c r="B152" s="1"/>
      <c r="C152" s="1"/>
      <c r="D152" s="1">
        <v>0</v>
      </c>
      <c r="E152" s="1">
        <v>0</v>
      </c>
      <c r="F152" s="1" t="e">
        <f t="shared" si="11"/>
        <v>#DIV/0!</v>
      </c>
      <c r="G152" s="1"/>
      <c r="H152" s="1"/>
      <c r="I152" s="1"/>
      <c r="J152" s="1">
        <v>0</v>
      </c>
      <c r="K152" s="1"/>
      <c r="L152" s="1" t="e">
        <f t="shared" si="10"/>
        <v>#DIV/0!</v>
      </c>
    </row>
    <row r="153" spans="1:12" x14ac:dyDescent="0.25">
      <c r="A153" s="1"/>
      <c r="B153" s="1"/>
      <c r="C153" s="1"/>
      <c r="D153" s="1">
        <v>0</v>
      </c>
      <c r="E153" s="1">
        <v>0</v>
      </c>
      <c r="F153" s="1" t="e">
        <f t="shared" si="11"/>
        <v>#DIV/0!</v>
      </c>
      <c r="G153" s="1"/>
      <c r="H153" s="1"/>
      <c r="I153" s="1"/>
      <c r="J153" s="1">
        <v>0</v>
      </c>
      <c r="K153" s="1"/>
      <c r="L153" s="1" t="e">
        <f t="shared" si="10"/>
        <v>#DIV/0!</v>
      </c>
    </row>
    <row r="154" spans="1:12" x14ac:dyDescent="0.25">
      <c r="A154" s="1"/>
      <c r="B154" s="1"/>
      <c r="C154" s="1"/>
      <c r="D154" s="1">
        <v>0</v>
      </c>
      <c r="E154" s="1">
        <v>0</v>
      </c>
      <c r="F154" s="1" t="e">
        <f t="shared" si="11"/>
        <v>#DIV/0!</v>
      </c>
      <c r="G154" s="1"/>
      <c r="H154" s="1"/>
      <c r="I154" s="1"/>
      <c r="J154" s="1">
        <v>0</v>
      </c>
      <c r="K154" s="1"/>
      <c r="L154" s="1" t="e">
        <f t="shared" si="10"/>
        <v>#DIV/0!</v>
      </c>
    </row>
    <row r="155" spans="1:12" x14ac:dyDescent="0.25">
      <c r="A155" s="1"/>
      <c r="B155" s="1"/>
      <c r="C155" s="1"/>
      <c r="D155" s="1">
        <f t="shared" ref="D155:D160" si="12">SUM(W155:Y155)</f>
        <v>0</v>
      </c>
      <c r="E155" s="1">
        <v>0</v>
      </c>
      <c r="F155" s="1" t="e">
        <f t="shared" si="11"/>
        <v>#DIV/0!</v>
      </c>
      <c r="G155" s="1"/>
      <c r="H155" s="1"/>
      <c r="I155" s="1"/>
      <c r="J155" s="1">
        <v>0</v>
      </c>
      <c r="K155" s="1"/>
      <c r="L155" s="1" t="e">
        <f t="shared" si="10"/>
        <v>#DIV/0!</v>
      </c>
    </row>
    <row r="156" spans="1:12" x14ac:dyDescent="0.25">
      <c r="A156" s="1"/>
      <c r="B156" s="1"/>
      <c r="C156" s="1"/>
      <c r="D156" s="1">
        <f t="shared" si="12"/>
        <v>0</v>
      </c>
      <c r="E156" s="1">
        <v>0</v>
      </c>
      <c r="F156" s="1" t="e">
        <f t="shared" si="11"/>
        <v>#DIV/0!</v>
      </c>
      <c r="G156" s="1"/>
      <c r="H156" s="1"/>
      <c r="I156" s="1"/>
      <c r="J156" s="1">
        <v>0</v>
      </c>
      <c r="K156" s="1"/>
      <c r="L156" s="1" t="e">
        <f t="shared" si="10"/>
        <v>#DIV/0!</v>
      </c>
    </row>
    <row r="157" spans="1:12" x14ac:dyDescent="0.25">
      <c r="A157" s="1"/>
      <c r="B157" s="1"/>
      <c r="C157" s="1"/>
      <c r="D157" s="1">
        <f t="shared" si="12"/>
        <v>0</v>
      </c>
      <c r="E157" s="1">
        <v>0</v>
      </c>
      <c r="F157" s="1" t="e">
        <f t="shared" si="11"/>
        <v>#DIV/0!</v>
      </c>
      <c r="G157" s="1"/>
      <c r="H157" s="1"/>
      <c r="I157" s="1"/>
      <c r="J157" s="1">
        <v>0</v>
      </c>
      <c r="K157" s="1"/>
      <c r="L157" s="1" t="e">
        <f t="shared" si="10"/>
        <v>#DIV/0!</v>
      </c>
    </row>
    <row r="158" spans="1:12" x14ac:dyDescent="0.25">
      <c r="A158" s="1"/>
      <c r="B158" s="1"/>
      <c r="C158" s="1"/>
      <c r="D158" s="1">
        <f t="shared" si="12"/>
        <v>0</v>
      </c>
      <c r="E158" s="1">
        <v>0</v>
      </c>
      <c r="F158" s="1" t="e">
        <f t="shared" si="11"/>
        <v>#DIV/0!</v>
      </c>
      <c r="G158" s="1"/>
      <c r="H158" s="1"/>
      <c r="I158" s="1"/>
      <c r="J158" s="1">
        <v>0</v>
      </c>
      <c r="K158" s="1"/>
      <c r="L158" s="1" t="e">
        <f t="shared" si="10"/>
        <v>#DIV/0!</v>
      </c>
    </row>
    <row r="159" spans="1:12" x14ac:dyDescent="0.25">
      <c r="A159" s="1"/>
      <c r="B159" s="1"/>
      <c r="C159" s="1"/>
      <c r="D159" s="1">
        <f t="shared" si="12"/>
        <v>0</v>
      </c>
      <c r="E159" s="1">
        <v>0</v>
      </c>
      <c r="F159" s="1" t="e">
        <f t="shared" si="11"/>
        <v>#DIV/0!</v>
      </c>
      <c r="G159" s="1"/>
      <c r="H159" s="1"/>
      <c r="I159" s="1"/>
      <c r="J159" s="1">
        <v>0</v>
      </c>
      <c r="K159" s="1"/>
      <c r="L159" s="1" t="e">
        <f t="shared" si="10"/>
        <v>#DIV/0!</v>
      </c>
    </row>
    <row r="160" spans="1:12" x14ac:dyDescent="0.25">
      <c r="A160" s="1"/>
      <c r="B160" s="1"/>
      <c r="C160" s="1"/>
      <c r="D160" s="1">
        <f t="shared" si="12"/>
        <v>0</v>
      </c>
      <c r="E160" s="1">
        <v>0</v>
      </c>
      <c r="F160" s="1" t="e">
        <f t="shared" si="11"/>
        <v>#DIV/0!</v>
      </c>
      <c r="G160" s="1"/>
      <c r="H160" s="1"/>
      <c r="I160" s="1"/>
      <c r="J160" s="1">
        <v>0</v>
      </c>
      <c r="K160" s="1"/>
      <c r="L160" s="1" t="e">
        <f t="shared" si="10"/>
        <v>#DIV/0!</v>
      </c>
    </row>
    <row r="161" spans="1:12" x14ac:dyDescent="0.25">
      <c r="A161" s="1"/>
      <c r="B161" s="1" t="s">
        <v>90</v>
      </c>
      <c r="C161" s="1"/>
      <c r="D161" s="1">
        <f>SUM(D143:D160)</f>
        <v>179</v>
      </c>
      <c r="E161" s="1"/>
      <c r="F161" s="1"/>
      <c r="G161" s="1"/>
      <c r="H161" s="1" t="s">
        <v>90</v>
      </c>
      <c r="I161" s="1"/>
      <c r="J161" s="1">
        <f>SUM(J143:J160)</f>
        <v>0</v>
      </c>
      <c r="K161" s="1"/>
      <c r="L161" s="1"/>
    </row>
    <row r="166" spans="1:12" x14ac:dyDescent="0.25">
      <c r="B166" t="s">
        <v>125</v>
      </c>
    </row>
    <row r="167" spans="1:12" x14ac:dyDescent="0.25">
      <c r="B167" t="s">
        <v>94</v>
      </c>
    </row>
    <row r="168" spans="1:12" x14ac:dyDescent="0.25">
      <c r="B168" t="s">
        <v>95</v>
      </c>
      <c r="H168" t="s">
        <v>96</v>
      </c>
    </row>
    <row r="169" spans="1:12" x14ac:dyDescent="0.25">
      <c r="A169" s="1"/>
      <c r="B169" s="1" t="s">
        <v>97</v>
      </c>
      <c r="C169" s="1" t="s">
        <v>98</v>
      </c>
      <c r="D169" s="1" t="s">
        <v>99</v>
      </c>
      <c r="E169" s="1" t="s">
        <v>100</v>
      </c>
      <c r="F169" s="1" t="s">
        <v>101</v>
      </c>
      <c r="G169" s="1"/>
      <c r="H169" s="1" t="s">
        <v>97</v>
      </c>
      <c r="I169" s="1" t="s">
        <v>98</v>
      </c>
      <c r="J169" s="1" t="s">
        <v>99</v>
      </c>
      <c r="K169" s="1" t="s">
        <v>100</v>
      </c>
      <c r="L169" s="1" t="s">
        <v>101</v>
      </c>
    </row>
    <row r="170" spans="1:12" x14ac:dyDescent="0.25">
      <c r="A170" s="1"/>
      <c r="B170" s="1"/>
      <c r="C170" s="1"/>
      <c r="D170" s="1">
        <v>0</v>
      </c>
      <c r="E170" s="1">
        <v>0</v>
      </c>
      <c r="F170" s="1" t="e">
        <f>D170/E170</f>
        <v>#DIV/0!</v>
      </c>
      <c r="G170" s="1"/>
      <c r="H170" s="1"/>
      <c r="I170" s="1"/>
      <c r="J170" s="1">
        <v>0</v>
      </c>
      <c r="K170" s="1"/>
      <c r="L170" s="1" t="e">
        <f>J170/K170</f>
        <v>#DIV/0!</v>
      </c>
    </row>
    <row r="171" spans="1:12" x14ac:dyDescent="0.25">
      <c r="A171" s="1"/>
      <c r="B171" s="1"/>
      <c r="C171" s="1"/>
      <c r="D171" s="1">
        <v>0</v>
      </c>
      <c r="E171" s="1">
        <v>0</v>
      </c>
      <c r="F171" s="1" t="e">
        <f>D171/E171</f>
        <v>#DIV/0!</v>
      </c>
      <c r="G171" s="1"/>
      <c r="H171" s="1"/>
      <c r="I171" s="1"/>
      <c r="J171" s="1">
        <v>0</v>
      </c>
      <c r="K171" s="1"/>
      <c r="L171" s="1" t="e">
        <f t="shared" ref="L171:L187" si="13">J171/K171</f>
        <v>#DIV/0!</v>
      </c>
    </row>
    <row r="172" spans="1:12" x14ac:dyDescent="0.25">
      <c r="A172" s="1"/>
      <c r="B172" s="1"/>
      <c r="C172" s="1"/>
      <c r="D172" s="1">
        <v>0</v>
      </c>
      <c r="E172" s="1">
        <v>0</v>
      </c>
      <c r="F172" s="1" t="e">
        <f t="shared" ref="F172:F187" si="14">D172/E172</f>
        <v>#DIV/0!</v>
      </c>
      <c r="G172" s="1"/>
      <c r="H172" s="1"/>
      <c r="I172" s="1"/>
      <c r="J172" s="1">
        <v>0</v>
      </c>
      <c r="K172" s="1"/>
      <c r="L172" s="1" t="e">
        <f t="shared" si="13"/>
        <v>#DIV/0!</v>
      </c>
    </row>
    <row r="173" spans="1:12" x14ac:dyDescent="0.25">
      <c r="A173" s="1"/>
      <c r="B173" s="1"/>
      <c r="C173" s="1"/>
      <c r="D173" s="1">
        <v>0</v>
      </c>
      <c r="E173" s="1">
        <v>0</v>
      </c>
      <c r="F173" s="1" t="e">
        <f t="shared" si="14"/>
        <v>#DIV/0!</v>
      </c>
      <c r="G173" s="1"/>
      <c r="H173" s="1"/>
      <c r="I173" s="1"/>
      <c r="J173" s="1">
        <v>0</v>
      </c>
      <c r="K173" s="1"/>
      <c r="L173" s="1" t="e">
        <f t="shared" si="13"/>
        <v>#DIV/0!</v>
      </c>
    </row>
    <row r="174" spans="1:12" x14ac:dyDescent="0.25">
      <c r="A174" s="1"/>
      <c r="B174" s="1"/>
      <c r="C174" s="1"/>
      <c r="D174" s="1">
        <v>0</v>
      </c>
      <c r="E174" s="1">
        <v>0</v>
      </c>
      <c r="F174" s="1" t="e">
        <f t="shared" si="14"/>
        <v>#DIV/0!</v>
      </c>
      <c r="G174" s="1"/>
      <c r="H174" s="1"/>
      <c r="I174" s="1"/>
      <c r="J174" s="1">
        <v>0</v>
      </c>
      <c r="K174" s="1"/>
      <c r="L174" s="1" t="e">
        <f t="shared" si="13"/>
        <v>#DIV/0!</v>
      </c>
    </row>
    <row r="175" spans="1:12" x14ac:dyDescent="0.25">
      <c r="A175" s="1"/>
      <c r="B175" s="1"/>
      <c r="C175" s="1"/>
      <c r="D175" s="1">
        <v>0</v>
      </c>
      <c r="E175" s="1">
        <v>0</v>
      </c>
      <c r="F175" s="1" t="e">
        <f t="shared" si="14"/>
        <v>#DIV/0!</v>
      </c>
      <c r="G175" s="1"/>
      <c r="H175" s="1"/>
      <c r="I175" s="1"/>
      <c r="J175" s="1">
        <v>0</v>
      </c>
      <c r="K175" s="1"/>
      <c r="L175" s="1" t="e">
        <f t="shared" si="13"/>
        <v>#DIV/0!</v>
      </c>
    </row>
    <row r="176" spans="1:12" x14ac:dyDescent="0.25">
      <c r="A176" s="1"/>
      <c r="B176" s="1"/>
      <c r="C176" s="1"/>
      <c r="D176" s="1">
        <v>0</v>
      </c>
      <c r="E176" s="1">
        <v>0</v>
      </c>
      <c r="F176" s="1" t="e">
        <f t="shared" si="14"/>
        <v>#DIV/0!</v>
      </c>
      <c r="G176" s="1"/>
      <c r="H176" s="1"/>
      <c r="I176" s="1"/>
      <c r="J176" s="1">
        <v>0</v>
      </c>
      <c r="K176" s="1"/>
      <c r="L176" s="1" t="e">
        <f t="shared" si="13"/>
        <v>#DIV/0!</v>
      </c>
    </row>
    <row r="177" spans="1:12" x14ac:dyDescent="0.25">
      <c r="A177" s="1"/>
      <c r="B177" s="1"/>
      <c r="C177" s="1"/>
      <c r="D177" s="1">
        <v>0</v>
      </c>
      <c r="E177" s="1">
        <v>0</v>
      </c>
      <c r="F177" s="1" t="e">
        <f t="shared" si="14"/>
        <v>#DIV/0!</v>
      </c>
      <c r="G177" s="1"/>
      <c r="H177" s="1"/>
      <c r="I177" s="1"/>
      <c r="J177" s="1">
        <v>0</v>
      </c>
      <c r="K177" s="1"/>
      <c r="L177" s="1" t="e">
        <f t="shared" si="13"/>
        <v>#DIV/0!</v>
      </c>
    </row>
    <row r="178" spans="1:12" x14ac:dyDescent="0.25">
      <c r="A178" s="1"/>
      <c r="B178" s="1"/>
      <c r="C178" s="1"/>
      <c r="D178" s="1">
        <v>0</v>
      </c>
      <c r="E178" s="1">
        <v>0</v>
      </c>
      <c r="F178" s="1" t="e">
        <f t="shared" si="14"/>
        <v>#DIV/0!</v>
      </c>
      <c r="G178" s="1"/>
      <c r="H178" s="1"/>
      <c r="I178" s="1"/>
      <c r="J178" s="1">
        <v>0</v>
      </c>
      <c r="K178" s="1"/>
      <c r="L178" s="1" t="e">
        <f t="shared" si="13"/>
        <v>#DIV/0!</v>
      </c>
    </row>
    <row r="179" spans="1:12" x14ac:dyDescent="0.25">
      <c r="A179" s="1"/>
      <c r="B179" s="1"/>
      <c r="C179" s="1"/>
      <c r="D179" s="1">
        <v>0</v>
      </c>
      <c r="E179" s="1">
        <v>0</v>
      </c>
      <c r="F179" s="1" t="e">
        <f t="shared" si="14"/>
        <v>#DIV/0!</v>
      </c>
      <c r="G179" s="1"/>
      <c r="H179" s="1"/>
      <c r="I179" s="1"/>
      <c r="J179" s="1">
        <v>0</v>
      </c>
      <c r="K179" s="1"/>
      <c r="L179" s="1" t="e">
        <f t="shared" si="13"/>
        <v>#DIV/0!</v>
      </c>
    </row>
    <row r="180" spans="1:12" x14ac:dyDescent="0.25">
      <c r="A180" s="1"/>
      <c r="B180" s="1"/>
      <c r="C180" s="1"/>
      <c r="D180" s="1">
        <v>0</v>
      </c>
      <c r="E180" s="1">
        <v>0</v>
      </c>
      <c r="F180" s="1" t="e">
        <f t="shared" si="14"/>
        <v>#DIV/0!</v>
      </c>
      <c r="G180" s="1"/>
      <c r="H180" s="1"/>
      <c r="I180" s="1"/>
      <c r="J180" s="1">
        <v>0</v>
      </c>
      <c r="K180" s="1"/>
      <c r="L180" s="1" t="e">
        <f t="shared" si="13"/>
        <v>#DIV/0!</v>
      </c>
    </row>
    <row r="181" spans="1:12" x14ac:dyDescent="0.25">
      <c r="A181" s="1"/>
      <c r="B181" s="1"/>
      <c r="C181" s="1"/>
      <c r="D181" s="1">
        <v>0</v>
      </c>
      <c r="E181" s="1">
        <v>0</v>
      </c>
      <c r="F181" s="1" t="e">
        <f t="shared" si="14"/>
        <v>#DIV/0!</v>
      </c>
      <c r="G181" s="1"/>
      <c r="H181" s="1"/>
      <c r="I181" s="1"/>
      <c r="J181" s="1">
        <v>0</v>
      </c>
      <c r="K181" s="1"/>
      <c r="L181" s="1" t="e">
        <f t="shared" si="13"/>
        <v>#DIV/0!</v>
      </c>
    </row>
    <row r="182" spans="1:12" x14ac:dyDescent="0.25">
      <c r="A182" s="1"/>
      <c r="B182" s="1"/>
      <c r="C182" s="1"/>
      <c r="D182" s="1">
        <f t="shared" ref="D182:D187" si="15">SUM(W182:Y182)</f>
        <v>0</v>
      </c>
      <c r="E182" s="1">
        <v>0</v>
      </c>
      <c r="F182" s="1" t="e">
        <f t="shared" si="14"/>
        <v>#DIV/0!</v>
      </c>
      <c r="G182" s="1"/>
      <c r="H182" s="1"/>
      <c r="I182" s="1"/>
      <c r="J182" s="1">
        <v>0</v>
      </c>
      <c r="K182" s="1"/>
      <c r="L182" s="1" t="e">
        <f t="shared" si="13"/>
        <v>#DIV/0!</v>
      </c>
    </row>
    <row r="183" spans="1:12" x14ac:dyDescent="0.25">
      <c r="A183" s="1"/>
      <c r="B183" s="1"/>
      <c r="C183" s="1"/>
      <c r="D183" s="1">
        <f t="shared" si="15"/>
        <v>0</v>
      </c>
      <c r="E183" s="1">
        <v>0</v>
      </c>
      <c r="F183" s="1" t="e">
        <f t="shared" si="14"/>
        <v>#DIV/0!</v>
      </c>
      <c r="G183" s="1"/>
      <c r="H183" s="1"/>
      <c r="I183" s="1"/>
      <c r="J183" s="1">
        <v>0</v>
      </c>
      <c r="K183" s="1"/>
      <c r="L183" s="1" t="e">
        <f t="shared" si="13"/>
        <v>#DIV/0!</v>
      </c>
    </row>
    <row r="184" spans="1:12" x14ac:dyDescent="0.25">
      <c r="A184" s="1"/>
      <c r="B184" s="1"/>
      <c r="C184" s="1"/>
      <c r="D184" s="1">
        <f t="shared" si="15"/>
        <v>0</v>
      </c>
      <c r="E184" s="1">
        <v>0</v>
      </c>
      <c r="F184" s="1" t="e">
        <f t="shared" si="14"/>
        <v>#DIV/0!</v>
      </c>
      <c r="G184" s="1"/>
      <c r="H184" s="1"/>
      <c r="I184" s="1"/>
      <c r="J184" s="1">
        <v>0</v>
      </c>
      <c r="K184" s="1"/>
      <c r="L184" s="1" t="e">
        <f t="shared" si="13"/>
        <v>#DIV/0!</v>
      </c>
    </row>
    <row r="185" spans="1:12" x14ac:dyDescent="0.25">
      <c r="A185" s="1"/>
      <c r="B185" s="1"/>
      <c r="C185" s="1"/>
      <c r="D185" s="1">
        <f t="shared" si="15"/>
        <v>0</v>
      </c>
      <c r="E185" s="1">
        <v>0</v>
      </c>
      <c r="F185" s="1" t="e">
        <f t="shared" si="14"/>
        <v>#DIV/0!</v>
      </c>
      <c r="G185" s="1"/>
      <c r="H185" s="1"/>
      <c r="I185" s="1"/>
      <c r="J185" s="1">
        <v>0</v>
      </c>
      <c r="K185" s="1"/>
      <c r="L185" s="1" t="e">
        <f t="shared" si="13"/>
        <v>#DIV/0!</v>
      </c>
    </row>
    <row r="186" spans="1:12" x14ac:dyDescent="0.25">
      <c r="A186" s="1"/>
      <c r="B186" s="1"/>
      <c r="C186" s="1"/>
      <c r="D186" s="1">
        <f t="shared" si="15"/>
        <v>0</v>
      </c>
      <c r="E186" s="1">
        <v>0</v>
      </c>
      <c r="F186" s="1" t="e">
        <f t="shared" si="14"/>
        <v>#DIV/0!</v>
      </c>
      <c r="G186" s="1"/>
      <c r="H186" s="1"/>
      <c r="I186" s="1"/>
      <c r="J186" s="1">
        <v>0</v>
      </c>
      <c r="K186" s="1"/>
      <c r="L186" s="1" t="e">
        <f t="shared" si="13"/>
        <v>#DIV/0!</v>
      </c>
    </row>
    <row r="187" spans="1:12" x14ac:dyDescent="0.25">
      <c r="A187" s="1"/>
      <c r="B187" s="1"/>
      <c r="C187" s="1"/>
      <c r="D187" s="1">
        <f t="shared" si="15"/>
        <v>0</v>
      </c>
      <c r="E187" s="1">
        <v>0</v>
      </c>
      <c r="F187" s="1" t="e">
        <f t="shared" si="14"/>
        <v>#DIV/0!</v>
      </c>
      <c r="G187" s="1"/>
      <c r="H187" s="1"/>
      <c r="I187" s="1"/>
      <c r="J187" s="1">
        <v>0</v>
      </c>
      <c r="K187" s="1"/>
      <c r="L187" s="1" t="e">
        <f t="shared" si="13"/>
        <v>#DIV/0!</v>
      </c>
    </row>
    <row r="188" spans="1:12" x14ac:dyDescent="0.25">
      <c r="A188" s="1"/>
      <c r="B188" s="1" t="s">
        <v>90</v>
      </c>
      <c r="C188" s="1"/>
      <c r="D188" s="1">
        <f>SUM(D170:D187)</f>
        <v>0</v>
      </c>
      <c r="E188" s="1"/>
      <c r="F188" s="1"/>
      <c r="G188" s="1"/>
      <c r="H188" s="1" t="s">
        <v>90</v>
      </c>
      <c r="I188" s="1"/>
      <c r="J188" s="1">
        <f>SUM(J170:J187)</f>
        <v>0</v>
      </c>
      <c r="K188" s="1"/>
      <c r="L18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41DB-A740-4C73-AB39-10AB449ABD73}">
  <dimension ref="A1:AV46"/>
  <sheetViews>
    <sheetView tabSelected="1" topLeftCell="A31" workbookViewId="0">
      <selection activeCell="H47" sqref="H47"/>
    </sheetView>
  </sheetViews>
  <sheetFormatPr baseColWidth="10" defaultRowHeight="15" x14ac:dyDescent="0.25"/>
  <sheetData>
    <row r="1" spans="1:48" x14ac:dyDescent="0.25">
      <c r="A1" t="s">
        <v>272</v>
      </c>
      <c r="H1" t="s">
        <v>273</v>
      </c>
      <c r="O1" t="s">
        <v>274</v>
      </c>
      <c r="V1" t="s">
        <v>275</v>
      </c>
      <c r="AC1" t="s">
        <v>283</v>
      </c>
      <c r="AJ1" t="s">
        <v>291</v>
      </c>
      <c r="AQ1" t="s">
        <v>292</v>
      </c>
    </row>
    <row r="2" spans="1:48" x14ac:dyDescent="0.25">
      <c r="A2" t="s">
        <v>160</v>
      </c>
      <c r="B2" t="s">
        <v>200</v>
      </c>
      <c r="H2" t="s">
        <v>160</v>
      </c>
      <c r="I2" t="s">
        <v>200</v>
      </c>
      <c r="O2" t="s">
        <v>160</v>
      </c>
      <c r="P2" t="s">
        <v>200</v>
      </c>
      <c r="V2" t="s">
        <v>160</v>
      </c>
      <c r="W2" t="s">
        <v>200</v>
      </c>
      <c r="AC2" t="s">
        <v>160</v>
      </c>
      <c r="AD2" t="s">
        <v>200</v>
      </c>
      <c r="AJ2" t="s">
        <v>160</v>
      </c>
      <c r="AK2" s="1" t="s">
        <v>200</v>
      </c>
      <c r="AL2" s="1"/>
      <c r="AM2" s="1"/>
      <c r="AN2" s="1"/>
      <c r="AO2" s="1"/>
      <c r="AQ2" t="s">
        <v>160</v>
      </c>
      <c r="AR2" s="1" t="s">
        <v>200</v>
      </c>
      <c r="AS2" s="1"/>
      <c r="AT2" s="1"/>
      <c r="AU2" s="1"/>
      <c r="AV2" s="1"/>
    </row>
    <row r="3" spans="1:48" x14ac:dyDescent="0.25">
      <c r="A3" t="s">
        <v>161</v>
      </c>
      <c r="B3">
        <v>2</v>
      </c>
      <c r="C3" s="1" t="s">
        <v>162</v>
      </c>
      <c r="D3" s="1" t="s">
        <v>163</v>
      </c>
      <c r="E3" s="1" t="s">
        <v>164</v>
      </c>
      <c r="F3" s="1" t="s">
        <v>165</v>
      </c>
      <c r="H3" t="s">
        <v>161</v>
      </c>
      <c r="I3" s="1">
        <v>3</v>
      </c>
      <c r="J3" s="1" t="s">
        <v>162</v>
      </c>
      <c r="K3" s="1" t="s">
        <v>163</v>
      </c>
      <c r="L3" s="1" t="s">
        <v>164</v>
      </c>
      <c r="M3" s="1" t="s">
        <v>165</v>
      </c>
      <c r="O3" t="s">
        <v>161</v>
      </c>
      <c r="P3" s="1">
        <v>2</v>
      </c>
      <c r="Q3" s="1" t="s">
        <v>162</v>
      </c>
      <c r="R3" s="1" t="s">
        <v>163</v>
      </c>
      <c r="S3" s="1" t="s">
        <v>164</v>
      </c>
      <c r="T3" s="1" t="s">
        <v>165</v>
      </c>
      <c r="V3" t="s">
        <v>161</v>
      </c>
      <c r="W3" s="1">
        <v>2</v>
      </c>
      <c r="X3" s="1" t="s">
        <v>162</v>
      </c>
      <c r="Y3" s="1" t="s">
        <v>163</v>
      </c>
      <c r="Z3" s="1" t="s">
        <v>164</v>
      </c>
      <c r="AA3" s="1" t="s">
        <v>165</v>
      </c>
      <c r="AC3" t="s">
        <v>161</v>
      </c>
      <c r="AD3" s="1">
        <v>2</v>
      </c>
      <c r="AE3" s="1" t="s">
        <v>162</v>
      </c>
      <c r="AF3" s="1" t="s">
        <v>163</v>
      </c>
      <c r="AG3" s="1" t="s">
        <v>164</v>
      </c>
      <c r="AH3" s="1" t="s">
        <v>165</v>
      </c>
      <c r="AJ3" t="s">
        <v>161</v>
      </c>
      <c r="AK3" s="1">
        <v>3</v>
      </c>
      <c r="AL3" s="1" t="s">
        <v>162</v>
      </c>
      <c r="AM3" s="1" t="s">
        <v>163</v>
      </c>
      <c r="AN3" s="1" t="s">
        <v>164</v>
      </c>
      <c r="AO3" s="1" t="s">
        <v>165</v>
      </c>
      <c r="AQ3" t="s">
        <v>161</v>
      </c>
      <c r="AR3" s="1">
        <v>2</v>
      </c>
      <c r="AS3" s="1" t="s">
        <v>162</v>
      </c>
      <c r="AT3" s="1" t="s">
        <v>163</v>
      </c>
      <c r="AU3" s="1" t="s">
        <v>164</v>
      </c>
      <c r="AV3" s="1" t="s">
        <v>165</v>
      </c>
    </row>
    <row r="4" spans="1:48" x14ac:dyDescent="0.25">
      <c r="C4" s="1" t="s">
        <v>166</v>
      </c>
      <c r="D4" s="1">
        <v>12</v>
      </c>
      <c r="E4" s="1">
        <v>12</v>
      </c>
      <c r="F4" s="1">
        <f>D4*E4</f>
        <v>144</v>
      </c>
      <c r="I4" s="1"/>
      <c r="J4" s="1" t="s">
        <v>166</v>
      </c>
      <c r="K4" s="1">
        <v>24</v>
      </c>
      <c r="L4" s="1">
        <v>12</v>
      </c>
      <c r="M4" s="1">
        <f>K4*L4</f>
        <v>288</v>
      </c>
      <c r="P4" s="1"/>
      <c r="Q4" s="1" t="s">
        <v>166</v>
      </c>
      <c r="R4" s="1">
        <v>12</v>
      </c>
      <c r="S4" s="1">
        <v>12</v>
      </c>
      <c r="T4" s="1">
        <f>R4*S4</f>
        <v>144</v>
      </c>
      <c r="W4" s="1"/>
      <c r="X4" s="1" t="s">
        <v>166</v>
      </c>
      <c r="Y4" s="1">
        <v>18</v>
      </c>
      <c r="Z4" s="1">
        <v>12</v>
      </c>
      <c r="AA4" s="1">
        <f>Y4*Z4</f>
        <v>216</v>
      </c>
      <c r="AD4" s="1"/>
      <c r="AE4" s="1" t="s">
        <v>166</v>
      </c>
      <c r="AF4" s="1">
        <v>18</v>
      </c>
      <c r="AG4" s="1">
        <v>12</v>
      </c>
      <c r="AH4" s="1">
        <f>AF4*AG4</f>
        <v>216</v>
      </c>
      <c r="AK4" s="1"/>
      <c r="AL4" s="1" t="s">
        <v>166</v>
      </c>
      <c r="AM4" s="1">
        <v>18</v>
      </c>
      <c r="AN4" s="1">
        <v>12</v>
      </c>
      <c r="AO4" s="1">
        <f>AM4*AN4</f>
        <v>216</v>
      </c>
      <c r="AR4" s="1"/>
      <c r="AS4" s="1" t="s">
        <v>166</v>
      </c>
      <c r="AT4" s="1">
        <v>18</v>
      </c>
      <c r="AU4" s="1">
        <v>12</v>
      </c>
      <c r="AV4" s="1">
        <f>AT4*AU4</f>
        <v>216</v>
      </c>
    </row>
    <row r="5" spans="1:48" x14ac:dyDescent="0.25">
      <c r="C5" s="1" t="s">
        <v>167</v>
      </c>
      <c r="D5" s="1">
        <v>12</v>
      </c>
      <c r="E5" s="1">
        <v>15</v>
      </c>
      <c r="F5" s="1">
        <f t="shared" ref="F5:F39" si="0">D5*E5</f>
        <v>180</v>
      </c>
      <c r="I5" s="1"/>
      <c r="J5" s="1" t="s">
        <v>167</v>
      </c>
      <c r="K5" s="1">
        <v>24</v>
      </c>
      <c r="L5" s="1">
        <v>15</v>
      </c>
      <c r="M5" s="1">
        <f t="shared" ref="M5:M37" si="1">K5*L5</f>
        <v>360</v>
      </c>
      <c r="P5" s="1"/>
      <c r="Q5" s="1" t="s">
        <v>167</v>
      </c>
      <c r="R5" s="1">
        <v>18</v>
      </c>
      <c r="S5" s="1">
        <v>15</v>
      </c>
      <c r="T5" s="1">
        <f t="shared" ref="T5:T37" si="2">R5*S5</f>
        <v>270</v>
      </c>
      <c r="W5" s="1"/>
      <c r="X5" s="1" t="s">
        <v>167</v>
      </c>
      <c r="Y5" s="1">
        <v>18</v>
      </c>
      <c r="Z5" s="1">
        <v>15</v>
      </c>
      <c r="AA5" s="1">
        <f t="shared" ref="AA5:AA37" si="3">Y5*Z5</f>
        <v>270</v>
      </c>
      <c r="AD5" s="1"/>
      <c r="AE5" s="1" t="s">
        <v>167</v>
      </c>
      <c r="AF5" s="1">
        <v>18</v>
      </c>
      <c r="AG5" s="1">
        <v>15</v>
      </c>
      <c r="AH5" s="1">
        <f t="shared" ref="AH5:AH37" si="4">AF5*AG5</f>
        <v>270</v>
      </c>
      <c r="AK5" s="1"/>
      <c r="AL5" s="1" t="s">
        <v>167</v>
      </c>
      <c r="AM5" s="1">
        <v>24</v>
      </c>
      <c r="AN5" s="1">
        <v>15</v>
      </c>
      <c r="AO5" s="1">
        <f t="shared" ref="AO5:AO37" si="5">AM5*AN5</f>
        <v>360</v>
      </c>
      <c r="AR5" s="1"/>
      <c r="AS5" s="1" t="s">
        <v>167</v>
      </c>
      <c r="AT5" s="1">
        <v>12</v>
      </c>
      <c r="AU5" s="1">
        <v>15</v>
      </c>
      <c r="AV5" s="1">
        <f t="shared" ref="AV5:AV37" si="6">AT5*AU5</f>
        <v>180</v>
      </c>
    </row>
    <row r="6" spans="1:48" x14ac:dyDescent="0.25">
      <c r="C6" s="1" t="s">
        <v>52</v>
      </c>
      <c r="D6" s="1">
        <v>6</v>
      </c>
      <c r="E6" s="1">
        <v>12</v>
      </c>
      <c r="F6" s="1">
        <f t="shared" si="0"/>
        <v>72</v>
      </c>
      <c r="I6" s="1"/>
      <c r="J6" s="1" t="s">
        <v>52</v>
      </c>
      <c r="K6" s="1">
        <v>6</v>
      </c>
      <c r="L6" s="1">
        <v>12</v>
      </c>
      <c r="M6" s="1">
        <f t="shared" si="1"/>
        <v>72</v>
      </c>
      <c r="P6" s="1"/>
      <c r="Q6" s="1" t="s">
        <v>52</v>
      </c>
      <c r="R6" s="1">
        <v>0</v>
      </c>
      <c r="S6" s="1">
        <v>12</v>
      </c>
      <c r="T6" s="1">
        <f t="shared" si="2"/>
        <v>0</v>
      </c>
      <c r="W6" s="1"/>
      <c r="X6" s="1" t="s">
        <v>52</v>
      </c>
      <c r="Y6" s="1">
        <v>6</v>
      </c>
      <c r="Z6" s="1">
        <v>12</v>
      </c>
      <c r="AA6" s="1">
        <f t="shared" si="3"/>
        <v>72</v>
      </c>
      <c r="AD6" s="1"/>
      <c r="AE6" s="1" t="s">
        <v>52</v>
      </c>
      <c r="AF6" s="1"/>
      <c r="AG6" s="1">
        <v>12</v>
      </c>
      <c r="AH6" s="1">
        <f t="shared" si="4"/>
        <v>0</v>
      </c>
      <c r="AK6" s="1"/>
      <c r="AL6" s="1" t="s">
        <v>52</v>
      </c>
      <c r="AM6" s="1">
        <v>6</v>
      </c>
      <c r="AN6" s="1">
        <v>12</v>
      </c>
      <c r="AO6" s="1">
        <f t="shared" si="5"/>
        <v>72</v>
      </c>
      <c r="AR6" s="1"/>
      <c r="AS6" s="1" t="s">
        <v>52</v>
      </c>
      <c r="AT6" s="1">
        <v>6</v>
      </c>
      <c r="AU6" s="1">
        <v>12</v>
      </c>
      <c r="AV6" s="1">
        <f t="shared" si="6"/>
        <v>72</v>
      </c>
    </row>
    <row r="7" spans="1:48" x14ac:dyDescent="0.25">
      <c r="C7" s="1" t="s">
        <v>168</v>
      </c>
      <c r="D7" s="1">
        <v>6</v>
      </c>
      <c r="E7" s="1">
        <v>15</v>
      </c>
      <c r="F7" s="1">
        <f t="shared" si="0"/>
        <v>90</v>
      </c>
      <c r="I7" s="1"/>
      <c r="J7" s="1" t="s">
        <v>168</v>
      </c>
      <c r="K7" s="1">
        <v>7</v>
      </c>
      <c r="L7" s="1">
        <v>15</v>
      </c>
      <c r="M7" s="1">
        <f t="shared" si="1"/>
        <v>105</v>
      </c>
      <c r="P7" s="1"/>
      <c r="Q7" s="1" t="s">
        <v>168</v>
      </c>
      <c r="R7" s="1">
        <v>6</v>
      </c>
      <c r="S7" s="1">
        <v>15</v>
      </c>
      <c r="T7" s="1">
        <f t="shared" si="2"/>
        <v>90</v>
      </c>
      <c r="W7" s="1"/>
      <c r="X7" s="1" t="s">
        <v>168</v>
      </c>
      <c r="Y7" s="1">
        <v>6</v>
      </c>
      <c r="Z7" s="1">
        <v>15</v>
      </c>
      <c r="AA7" s="1">
        <f t="shared" si="3"/>
        <v>90</v>
      </c>
      <c r="AD7" s="1"/>
      <c r="AE7" s="1" t="s">
        <v>168</v>
      </c>
      <c r="AF7" s="1">
        <v>6</v>
      </c>
      <c r="AG7" s="1">
        <v>15</v>
      </c>
      <c r="AH7" s="1">
        <f t="shared" si="4"/>
        <v>90</v>
      </c>
      <c r="AK7" s="1"/>
      <c r="AL7" s="1" t="s">
        <v>168</v>
      </c>
      <c r="AM7" s="1">
        <v>6</v>
      </c>
      <c r="AN7" s="1">
        <v>15</v>
      </c>
      <c r="AO7" s="1">
        <f t="shared" si="5"/>
        <v>90</v>
      </c>
      <c r="AR7" s="1"/>
      <c r="AS7" s="1" t="s">
        <v>168</v>
      </c>
      <c r="AT7" s="1">
        <v>6</v>
      </c>
      <c r="AU7" s="1">
        <v>15</v>
      </c>
      <c r="AV7" s="1">
        <f t="shared" si="6"/>
        <v>90</v>
      </c>
    </row>
    <row r="8" spans="1:48" x14ac:dyDescent="0.25">
      <c r="C8" s="2" t="s">
        <v>169</v>
      </c>
      <c r="D8" s="2">
        <v>5</v>
      </c>
      <c r="E8" s="1">
        <v>15</v>
      </c>
      <c r="F8" s="1">
        <f t="shared" si="0"/>
        <v>75</v>
      </c>
      <c r="I8" s="1"/>
      <c r="J8" s="1" t="s">
        <v>169</v>
      </c>
      <c r="K8" s="1">
        <v>6</v>
      </c>
      <c r="L8" s="1">
        <v>15</v>
      </c>
      <c r="M8" s="1">
        <f t="shared" si="1"/>
        <v>90</v>
      </c>
      <c r="P8" s="1"/>
      <c r="Q8" s="1" t="s">
        <v>169</v>
      </c>
      <c r="R8" s="1">
        <v>6</v>
      </c>
      <c r="S8" s="1">
        <v>15</v>
      </c>
      <c r="T8" s="1">
        <f t="shared" si="2"/>
        <v>90</v>
      </c>
      <c r="W8" s="1"/>
      <c r="X8" s="1" t="s">
        <v>169</v>
      </c>
      <c r="Y8" s="1"/>
      <c r="Z8" s="1">
        <v>15</v>
      </c>
      <c r="AA8" s="1">
        <f t="shared" si="3"/>
        <v>0</v>
      </c>
      <c r="AD8" s="1"/>
      <c r="AE8" s="1" t="s">
        <v>169</v>
      </c>
      <c r="AF8" s="1">
        <v>7</v>
      </c>
      <c r="AG8" s="1">
        <v>15</v>
      </c>
      <c r="AH8" s="1">
        <f t="shared" si="4"/>
        <v>105</v>
      </c>
      <c r="AK8" s="1"/>
      <c r="AL8" s="1" t="s">
        <v>169</v>
      </c>
      <c r="AM8" s="1">
        <v>6</v>
      </c>
      <c r="AN8" s="1">
        <v>15</v>
      </c>
      <c r="AO8" s="1">
        <f t="shared" si="5"/>
        <v>90</v>
      </c>
      <c r="AR8" s="1"/>
      <c r="AS8" s="1" t="s">
        <v>169</v>
      </c>
      <c r="AT8" s="1"/>
      <c r="AU8" s="1">
        <v>15</v>
      </c>
      <c r="AV8" s="1">
        <f t="shared" si="6"/>
        <v>0</v>
      </c>
    </row>
    <row r="9" spans="1:48" x14ac:dyDescent="0.25">
      <c r="C9" s="1" t="s">
        <v>170</v>
      </c>
      <c r="D9" s="1">
        <v>6</v>
      </c>
      <c r="E9" s="1">
        <v>15</v>
      </c>
      <c r="F9" s="1">
        <f t="shared" si="0"/>
        <v>90</v>
      </c>
      <c r="I9" s="1"/>
      <c r="J9" s="1" t="s">
        <v>170</v>
      </c>
      <c r="K9" s="1">
        <v>6</v>
      </c>
      <c r="L9" s="1">
        <v>15</v>
      </c>
      <c r="M9" s="1">
        <f t="shared" si="1"/>
        <v>90</v>
      </c>
      <c r="P9" s="1"/>
      <c r="Q9" s="1" t="s">
        <v>170</v>
      </c>
      <c r="R9" s="1">
        <v>6</v>
      </c>
      <c r="S9" s="1">
        <v>15</v>
      </c>
      <c r="T9" s="1">
        <f t="shared" si="2"/>
        <v>90</v>
      </c>
      <c r="W9" s="1"/>
      <c r="X9" s="1" t="s">
        <v>170</v>
      </c>
      <c r="Y9" s="1"/>
      <c r="Z9" s="1">
        <v>15</v>
      </c>
      <c r="AA9" s="1">
        <f t="shared" si="3"/>
        <v>0</v>
      </c>
      <c r="AD9" s="1"/>
      <c r="AE9" s="1" t="s">
        <v>170</v>
      </c>
      <c r="AF9" s="1"/>
      <c r="AG9" s="1">
        <v>15</v>
      </c>
      <c r="AH9" s="1">
        <f t="shared" si="4"/>
        <v>0</v>
      </c>
      <c r="AK9" s="1"/>
      <c r="AL9" s="1" t="s">
        <v>170</v>
      </c>
      <c r="AM9" s="1">
        <v>6</v>
      </c>
      <c r="AN9" s="1">
        <v>15</v>
      </c>
      <c r="AO9" s="1">
        <f t="shared" si="5"/>
        <v>90</v>
      </c>
      <c r="AR9" s="1"/>
      <c r="AS9" s="1" t="s">
        <v>170</v>
      </c>
      <c r="AT9" s="1">
        <v>7</v>
      </c>
      <c r="AU9" s="1">
        <v>15</v>
      </c>
      <c r="AV9" s="1">
        <f t="shared" si="6"/>
        <v>105</v>
      </c>
    </row>
    <row r="10" spans="1:48" x14ac:dyDescent="0.25">
      <c r="C10" s="1"/>
      <c r="D10" s="1"/>
      <c r="E10" s="1"/>
      <c r="F10" s="1"/>
      <c r="I10" s="1"/>
      <c r="J10" s="1" t="s">
        <v>52</v>
      </c>
      <c r="K10" s="1">
        <v>5</v>
      </c>
      <c r="L10" s="1">
        <v>12</v>
      </c>
      <c r="M10" s="1">
        <f t="shared" si="1"/>
        <v>60</v>
      </c>
      <c r="P10" s="1"/>
      <c r="Q10" s="1" t="s">
        <v>52</v>
      </c>
      <c r="R10" s="1">
        <v>0</v>
      </c>
      <c r="S10" s="1">
        <v>12</v>
      </c>
      <c r="T10" s="1">
        <f t="shared" si="2"/>
        <v>0</v>
      </c>
      <c r="W10" s="1"/>
      <c r="X10" s="1" t="s">
        <v>52</v>
      </c>
      <c r="Y10" s="1"/>
      <c r="Z10" s="1">
        <v>12</v>
      </c>
      <c r="AA10" s="1">
        <f t="shared" si="3"/>
        <v>0</v>
      </c>
      <c r="AD10" s="1"/>
      <c r="AE10" s="1" t="s">
        <v>52</v>
      </c>
      <c r="AF10" s="1"/>
      <c r="AG10" s="1">
        <v>12</v>
      </c>
      <c r="AH10" s="1">
        <f t="shared" si="4"/>
        <v>0</v>
      </c>
      <c r="AJ10" t="s">
        <v>53</v>
      </c>
      <c r="AK10" s="1">
        <v>0.75</v>
      </c>
      <c r="AL10" s="1" t="s">
        <v>53</v>
      </c>
      <c r="AM10" s="1">
        <v>18</v>
      </c>
      <c r="AN10" s="1">
        <v>9</v>
      </c>
      <c r="AO10" s="1">
        <f t="shared" si="5"/>
        <v>162</v>
      </c>
      <c r="AR10" s="1"/>
      <c r="AS10" s="1"/>
      <c r="AT10" s="1"/>
      <c r="AU10" s="1">
        <v>12</v>
      </c>
      <c r="AV10" s="1">
        <f t="shared" si="6"/>
        <v>0</v>
      </c>
    </row>
    <row r="11" spans="1:48" x14ac:dyDescent="0.25">
      <c r="A11" t="s">
        <v>171</v>
      </c>
      <c r="B11">
        <v>2</v>
      </c>
      <c r="C11" s="1" t="s">
        <v>172</v>
      </c>
      <c r="D11" s="1">
        <v>36</v>
      </c>
      <c r="E11" s="1">
        <v>12</v>
      </c>
      <c r="F11" s="1">
        <f t="shared" si="0"/>
        <v>432</v>
      </c>
      <c r="H11" t="s">
        <v>171</v>
      </c>
      <c r="I11" s="1">
        <v>2</v>
      </c>
      <c r="J11" s="1" t="s">
        <v>172</v>
      </c>
      <c r="K11" s="1">
        <v>36</v>
      </c>
      <c r="L11" s="1">
        <v>12</v>
      </c>
      <c r="M11" s="1">
        <f t="shared" si="1"/>
        <v>432</v>
      </c>
      <c r="O11" t="s">
        <v>171</v>
      </c>
      <c r="P11" s="1">
        <v>2</v>
      </c>
      <c r="Q11" s="1" t="s">
        <v>172</v>
      </c>
      <c r="R11" s="1">
        <v>36</v>
      </c>
      <c r="S11" s="1">
        <v>12</v>
      </c>
      <c r="T11" s="1">
        <f t="shared" si="2"/>
        <v>432</v>
      </c>
      <c r="V11" t="s">
        <v>171</v>
      </c>
      <c r="W11" s="1">
        <v>2.5</v>
      </c>
      <c r="X11" s="1" t="s">
        <v>172</v>
      </c>
      <c r="Y11" s="1">
        <v>26</v>
      </c>
      <c r="Z11" s="1">
        <v>12</v>
      </c>
      <c r="AA11" s="1">
        <f t="shared" si="3"/>
        <v>312</v>
      </c>
      <c r="AC11" t="s">
        <v>171</v>
      </c>
      <c r="AD11" s="1">
        <v>2</v>
      </c>
      <c r="AE11" s="1" t="s">
        <v>172</v>
      </c>
      <c r="AF11" s="1">
        <v>36</v>
      </c>
      <c r="AG11" s="1">
        <v>12</v>
      </c>
      <c r="AH11" s="1">
        <f t="shared" si="4"/>
        <v>432</v>
      </c>
      <c r="AJ11" t="s">
        <v>171</v>
      </c>
      <c r="AK11" s="1">
        <v>2.5</v>
      </c>
      <c r="AL11" s="1" t="s">
        <v>172</v>
      </c>
      <c r="AM11" s="1">
        <v>48</v>
      </c>
      <c r="AN11" s="1">
        <v>12</v>
      </c>
      <c r="AO11" s="1">
        <f t="shared" si="5"/>
        <v>576</v>
      </c>
      <c r="AQ11" t="s">
        <v>171</v>
      </c>
      <c r="AR11" s="1">
        <v>2</v>
      </c>
      <c r="AS11" s="1" t="s">
        <v>172</v>
      </c>
      <c r="AT11" s="1">
        <v>34</v>
      </c>
      <c r="AU11" s="1">
        <v>12</v>
      </c>
      <c r="AV11" s="1">
        <f t="shared" si="6"/>
        <v>408</v>
      </c>
    </row>
    <row r="12" spans="1:48" x14ac:dyDescent="0.25">
      <c r="C12" s="1" t="s">
        <v>173</v>
      </c>
      <c r="D12" s="1">
        <v>10</v>
      </c>
      <c r="E12" s="1">
        <v>12</v>
      </c>
      <c r="F12" s="1">
        <f t="shared" si="0"/>
        <v>120</v>
      </c>
      <c r="I12" s="1"/>
      <c r="J12" s="1" t="s">
        <v>173</v>
      </c>
      <c r="K12" s="1">
        <v>0</v>
      </c>
      <c r="L12" s="1">
        <v>12</v>
      </c>
      <c r="M12" s="1">
        <f t="shared" si="1"/>
        <v>0</v>
      </c>
      <c r="P12" s="1"/>
      <c r="Q12" s="1" t="s">
        <v>173</v>
      </c>
      <c r="R12" s="1">
        <v>10</v>
      </c>
      <c r="S12" s="1">
        <v>12</v>
      </c>
      <c r="T12" s="1">
        <f t="shared" si="2"/>
        <v>120</v>
      </c>
      <c r="W12" s="1"/>
      <c r="X12" s="1" t="s">
        <v>173</v>
      </c>
      <c r="Y12" s="1">
        <v>10</v>
      </c>
      <c r="Z12" s="1">
        <v>12</v>
      </c>
      <c r="AA12" s="1">
        <f t="shared" si="3"/>
        <v>120</v>
      </c>
      <c r="AD12" s="1"/>
      <c r="AE12" s="1" t="s">
        <v>173</v>
      </c>
      <c r="AF12" s="1">
        <v>10</v>
      </c>
      <c r="AG12" s="1">
        <v>12</v>
      </c>
      <c r="AH12" s="1">
        <f t="shared" si="4"/>
        <v>120</v>
      </c>
      <c r="AK12" s="1"/>
      <c r="AL12" s="1" t="s">
        <v>173</v>
      </c>
      <c r="AM12" s="1">
        <v>10</v>
      </c>
      <c r="AN12" s="1">
        <v>12</v>
      </c>
      <c r="AO12" s="1">
        <f t="shared" si="5"/>
        <v>120</v>
      </c>
      <c r="AR12" s="1"/>
      <c r="AS12" s="1" t="s">
        <v>173</v>
      </c>
      <c r="AT12" s="1">
        <v>10</v>
      </c>
      <c r="AU12" s="1">
        <v>12</v>
      </c>
      <c r="AV12" s="1">
        <f t="shared" si="6"/>
        <v>120</v>
      </c>
    </row>
    <row r="13" spans="1:48" x14ac:dyDescent="0.25">
      <c r="C13" s="2" t="s">
        <v>174</v>
      </c>
      <c r="D13" s="2">
        <v>11</v>
      </c>
      <c r="E13" s="1">
        <v>16</v>
      </c>
      <c r="F13" s="1">
        <f t="shared" si="0"/>
        <v>176</v>
      </c>
      <c r="I13" s="1"/>
      <c r="J13" s="1" t="s">
        <v>174</v>
      </c>
      <c r="K13" s="1">
        <v>11</v>
      </c>
      <c r="L13" s="1">
        <v>16</v>
      </c>
      <c r="M13" s="1">
        <f t="shared" si="1"/>
        <v>176</v>
      </c>
      <c r="P13" s="1"/>
      <c r="Q13" s="1" t="s">
        <v>245</v>
      </c>
      <c r="R13" s="1">
        <v>10</v>
      </c>
      <c r="S13" s="1">
        <v>13</v>
      </c>
      <c r="T13" s="1">
        <f t="shared" si="2"/>
        <v>130</v>
      </c>
      <c r="W13" s="1"/>
      <c r="X13" s="1" t="s">
        <v>245</v>
      </c>
      <c r="Y13" s="1">
        <v>24</v>
      </c>
      <c r="Z13" s="1">
        <v>13</v>
      </c>
      <c r="AA13" s="1">
        <f t="shared" si="3"/>
        <v>312</v>
      </c>
      <c r="AD13" s="1"/>
      <c r="AE13" s="1" t="s">
        <v>245</v>
      </c>
      <c r="AF13" s="1"/>
      <c r="AG13" s="1">
        <v>13</v>
      </c>
      <c r="AH13" s="1">
        <f t="shared" si="4"/>
        <v>0</v>
      </c>
      <c r="AK13" s="1"/>
      <c r="AL13" s="1" t="s">
        <v>245</v>
      </c>
      <c r="AM13" s="1">
        <v>12</v>
      </c>
      <c r="AN13" s="1">
        <v>13</v>
      </c>
      <c r="AO13" s="1">
        <f t="shared" si="5"/>
        <v>156</v>
      </c>
      <c r="AR13" s="1"/>
      <c r="AS13" s="1" t="s">
        <v>245</v>
      </c>
      <c r="AT13" s="1"/>
      <c r="AU13" s="1">
        <v>13</v>
      </c>
      <c r="AV13" s="1">
        <f t="shared" si="6"/>
        <v>0</v>
      </c>
    </row>
    <row r="14" spans="1:48" x14ac:dyDescent="0.25">
      <c r="C14" s="1" t="s">
        <v>175</v>
      </c>
      <c r="D14" s="1">
        <v>5</v>
      </c>
      <c r="E14" s="1">
        <v>15</v>
      </c>
      <c r="F14" s="1">
        <f t="shared" si="0"/>
        <v>75</v>
      </c>
      <c r="I14" s="1"/>
      <c r="J14" s="1" t="s">
        <v>234</v>
      </c>
      <c r="K14" s="1">
        <v>4</v>
      </c>
      <c r="L14" s="1">
        <v>16</v>
      </c>
      <c r="M14" s="1">
        <f t="shared" si="1"/>
        <v>64</v>
      </c>
      <c r="P14" s="1"/>
      <c r="Q14" s="1" t="s">
        <v>85</v>
      </c>
      <c r="R14" s="1">
        <v>6</v>
      </c>
      <c r="S14" s="1">
        <v>16</v>
      </c>
      <c r="T14" s="1">
        <f t="shared" si="2"/>
        <v>96</v>
      </c>
      <c r="W14" s="1"/>
      <c r="X14" s="1" t="s">
        <v>85</v>
      </c>
      <c r="Y14" s="1">
        <v>6</v>
      </c>
      <c r="Z14" s="1">
        <v>16</v>
      </c>
      <c r="AA14" s="1">
        <f t="shared" si="3"/>
        <v>96</v>
      </c>
      <c r="AD14" s="1"/>
      <c r="AE14" s="1" t="s">
        <v>85</v>
      </c>
      <c r="AF14" s="1">
        <v>4</v>
      </c>
      <c r="AG14" s="1">
        <v>16</v>
      </c>
      <c r="AH14" s="1">
        <f t="shared" si="4"/>
        <v>64</v>
      </c>
      <c r="AK14" s="1"/>
      <c r="AL14" s="1" t="s">
        <v>85</v>
      </c>
      <c r="AM14" s="1">
        <v>12</v>
      </c>
      <c r="AN14" s="1">
        <v>16</v>
      </c>
      <c r="AO14" s="1">
        <f t="shared" si="5"/>
        <v>192</v>
      </c>
      <c r="AR14" s="1"/>
      <c r="AS14" s="1" t="s">
        <v>85</v>
      </c>
      <c r="AT14" s="1"/>
      <c r="AU14" s="1">
        <v>16</v>
      </c>
      <c r="AV14" s="1">
        <f t="shared" si="6"/>
        <v>0</v>
      </c>
    </row>
    <row r="15" spans="1:48" x14ac:dyDescent="0.25">
      <c r="C15" s="1"/>
      <c r="D15" s="1"/>
      <c r="E15" s="1"/>
      <c r="F15" s="1"/>
      <c r="I15" s="1"/>
      <c r="J15" s="1"/>
      <c r="K15" s="1"/>
      <c r="L15" s="1"/>
      <c r="M15" s="1"/>
      <c r="P15" s="1"/>
      <c r="Q15" s="1" t="s">
        <v>80</v>
      </c>
      <c r="R15" s="1">
        <v>11</v>
      </c>
      <c r="S15" s="1">
        <v>16</v>
      </c>
      <c r="T15" s="1">
        <f t="shared" si="2"/>
        <v>176</v>
      </c>
      <c r="W15" s="1" t="s">
        <v>174</v>
      </c>
      <c r="X15" s="1" t="s">
        <v>80</v>
      </c>
      <c r="Y15" s="1"/>
      <c r="Z15" s="1">
        <v>16</v>
      </c>
      <c r="AA15" s="1">
        <f t="shared" si="3"/>
        <v>0</v>
      </c>
      <c r="AD15" s="1"/>
      <c r="AE15" s="1" t="s">
        <v>80</v>
      </c>
      <c r="AF15" s="1">
        <v>9</v>
      </c>
      <c r="AG15" s="1">
        <v>16</v>
      </c>
      <c r="AH15" s="1">
        <f t="shared" si="4"/>
        <v>144</v>
      </c>
      <c r="AK15" s="1"/>
      <c r="AL15" s="1" t="s">
        <v>80</v>
      </c>
      <c r="AM15" s="1">
        <v>11</v>
      </c>
      <c r="AN15" s="1">
        <v>16</v>
      </c>
      <c r="AO15" s="1">
        <f t="shared" si="5"/>
        <v>176</v>
      </c>
      <c r="AR15" s="1"/>
      <c r="AS15" s="1" t="s">
        <v>80</v>
      </c>
      <c r="AT15" s="1">
        <v>9</v>
      </c>
      <c r="AU15" s="1">
        <v>16</v>
      </c>
      <c r="AV15" s="1">
        <f t="shared" si="6"/>
        <v>144</v>
      </c>
    </row>
    <row r="16" spans="1:48" x14ac:dyDescent="0.25">
      <c r="A16" t="s">
        <v>21</v>
      </c>
      <c r="B16">
        <v>0.5</v>
      </c>
      <c r="C16" s="1" t="s">
        <v>21</v>
      </c>
      <c r="D16" s="1">
        <v>12</v>
      </c>
      <c r="E16" s="1">
        <v>13</v>
      </c>
      <c r="F16" s="1">
        <f t="shared" si="0"/>
        <v>156</v>
      </c>
      <c r="H16" t="s">
        <v>53</v>
      </c>
      <c r="I16" s="1">
        <v>0.75</v>
      </c>
      <c r="J16" s="1" t="s">
        <v>235</v>
      </c>
      <c r="K16" s="1">
        <v>18</v>
      </c>
      <c r="L16" s="1">
        <v>9</v>
      </c>
      <c r="M16" s="1">
        <f t="shared" si="1"/>
        <v>162</v>
      </c>
      <c r="O16" t="s">
        <v>246</v>
      </c>
      <c r="P16" s="1">
        <v>0.5</v>
      </c>
      <c r="Q16" s="1" t="s">
        <v>176</v>
      </c>
      <c r="R16" s="1">
        <v>18</v>
      </c>
      <c r="S16" s="1">
        <v>12</v>
      </c>
      <c r="T16" s="1">
        <f t="shared" si="2"/>
        <v>216</v>
      </c>
      <c r="V16" t="s">
        <v>216</v>
      </c>
      <c r="W16" s="1">
        <v>0.5</v>
      </c>
      <c r="X16" s="1" t="s">
        <v>276</v>
      </c>
      <c r="Y16" s="1">
        <v>14</v>
      </c>
      <c r="Z16" s="1">
        <v>14</v>
      </c>
      <c r="AA16" s="1">
        <f t="shared" si="3"/>
        <v>196</v>
      </c>
      <c r="AC16" t="s">
        <v>246</v>
      </c>
      <c r="AD16" s="1">
        <v>0.5</v>
      </c>
      <c r="AE16" s="1" t="s">
        <v>176</v>
      </c>
      <c r="AF16" s="1">
        <v>36</v>
      </c>
      <c r="AG16" s="1">
        <v>12</v>
      </c>
      <c r="AH16" s="1">
        <f t="shared" si="4"/>
        <v>432</v>
      </c>
      <c r="AJ16" t="s">
        <v>67</v>
      </c>
      <c r="AK16" s="1"/>
      <c r="AL16" s="1" t="s">
        <v>293</v>
      </c>
      <c r="AM16" s="1">
        <v>24</v>
      </c>
      <c r="AN16" s="1">
        <v>12</v>
      </c>
      <c r="AO16" s="1">
        <f t="shared" si="5"/>
        <v>288</v>
      </c>
      <c r="AQ16" t="s">
        <v>196</v>
      </c>
      <c r="AR16" s="1">
        <v>1</v>
      </c>
      <c r="AS16" s="1" t="s">
        <v>293</v>
      </c>
      <c r="AT16" s="1">
        <v>24</v>
      </c>
      <c r="AU16" s="1">
        <v>12</v>
      </c>
      <c r="AV16" s="1">
        <f t="shared" si="6"/>
        <v>288</v>
      </c>
    </row>
    <row r="17" spans="1:48" x14ac:dyDescent="0.25">
      <c r="A17" t="s">
        <v>15</v>
      </c>
      <c r="B17">
        <v>0.5</v>
      </c>
      <c r="C17" s="1" t="s">
        <v>176</v>
      </c>
      <c r="D17" s="1">
        <v>18</v>
      </c>
      <c r="E17" s="1">
        <v>12</v>
      </c>
      <c r="F17" s="1">
        <f t="shared" si="0"/>
        <v>216</v>
      </c>
      <c r="H17" t="s">
        <v>25</v>
      </c>
      <c r="I17" s="1">
        <v>0.5</v>
      </c>
      <c r="J17" s="1" t="s">
        <v>238</v>
      </c>
      <c r="K17" s="1">
        <v>18</v>
      </c>
      <c r="L17" s="1">
        <v>12</v>
      </c>
      <c r="M17" s="1">
        <f t="shared" si="1"/>
        <v>216</v>
      </c>
      <c r="O17" t="s">
        <v>21</v>
      </c>
      <c r="P17" s="1">
        <v>0.5</v>
      </c>
      <c r="Q17" s="1" t="s">
        <v>247</v>
      </c>
      <c r="R17" s="1">
        <v>12</v>
      </c>
      <c r="S17" s="1">
        <v>13</v>
      </c>
      <c r="T17" s="1">
        <f t="shared" si="2"/>
        <v>156</v>
      </c>
      <c r="V17" t="s">
        <v>21</v>
      </c>
      <c r="W17" s="1">
        <v>0.5</v>
      </c>
      <c r="X17" s="1" t="s">
        <v>247</v>
      </c>
      <c r="Y17" s="1">
        <v>12</v>
      </c>
      <c r="Z17" s="1">
        <v>13</v>
      </c>
      <c r="AA17" s="1">
        <f t="shared" si="3"/>
        <v>156</v>
      </c>
      <c r="AC17" t="s">
        <v>21</v>
      </c>
      <c r="AD17" s="1">
        <v>0.5</v>
      </c>
      <c r="AE17" s="1" t="s">
        <v>247</v>
      </c>
      <c r="AF17" s="1">
        <v>12</v>
      </c>
      <c r="AG17" s="1">
        <v>13</v>
      </c>
      <c r="AH17" s="1">
        <f t="shared" si="4"/>
        <v>156</v>
      </c>
      <c r="AJ17" t="s">
        <v>21</v>
      </c>
      <c r="AK17" s="1">
        <v>0.5</v>
      </c>
      <c r="AL17" s="1" t="s">
        <v>247</v>
      </c>
      <c r="AM17" s="1">
        <v>12</v>
      </c>
      <c r="AN17" s="1">
        <v>13</v>
      </c>
      <c r="AO17" s="1">
        <f t="shared" si="5"/>
        <v>156</v>
      </c>
      <c r="AQ17" t="s">
        <v>21</v>
      </c>
      <c r="AR17" s="1">
        <v>0.5</v>
      </c>
      <c r="AS17" s="1" t="s">
        <v>247</v>
      </c>
      <c r="AT17" s="1">
        <v>12</v>
      </c>
      <c r="AU17" s="1">
        <v>13</v>
      </c>
      <c r="AV17" s="1">
        <f t="shared" si="6"/>
        <v>156</v>
      </c>
    </row>
    <row r="18" spans="1:48" x14ac:dyDescent="0.25">
      <c r="A18" t="s">
        <v>177</v>
      </c>
      <c r="B18">
        <v>3</v>
      </c>
      <c r="C18" s="1" t="s">
        <v>178</v>
      </c>
      <c r="D18" s="1">
        <v>10</v>
      </c>
      <c r="E18" s="1">
        <v>14</v>
      </c>
      <c r="F18" s="1">
        <f t="shared" si="0"/>
        <v>140</v>
      </c>
      <c r="H18" t="s">
        <v>177</v>
      </c>
      <c r="I18" s="1">
        <v>3</v>
      </c>
      <c r="J18" s="1" t="s">
        <v>178</v>
      </c>
      <c r="K18" s="1">
        <v>12</v>
      </c>
      <c r="L18" s="1">
        <v>14</v>
      </c>
      <c r="M18" s="1">
        <f t="shared" si="1"/>
        <v>168</v>
      </c>
      <c r="O18" t="s">
        <v>177</v>
      </c>
      <c r="P18" s="1">
        <v>1.5</v>
      </c>
      <c r="Q18" s="1" t="s">
        <v>178</v>
      </c>
      <c r="R18" s="1">
        <v>0</v>
      </c>
      <c r="S18" s="1">
        <v>14</v>
      </c>
      <c r="T18" s="1">
        <f t="shared" si="2"/>
        <v>0</v>
      </c>
      <c r="V18" t="s">
        <v>177</v>
      </c>
      <c r="W18" s="1">
        <v>1.5</v>
      </c>
      <c r="X18" s="1" t="s">
        <v>178</v>
      </c>
      <c r="Y18" s="1">
        <v>12</v>
      </c>
      <c r="Z18" s="1">
        <v>14</v>
      </c>
      <c r="AA18" s="1">
        <f t="shared" si="3"/>
        <v>168</v>
      </c>
      <c r="AC18" t="s">
        <v>177</v>
      </c>
      <c r="AD18" s="1">
        <v>3</v>
      </c>
      <c r="AE18" s="1" t="s">
        <v>178</v>
      </c>
      <c r="AF18" s="1">
        <v>12</v>
      </c>
      <c r="AG18" s="1">
        <v>14</v>
      </c>
      <c r="AH18" s="1">
        <f t="shared" si="4"/>
        <v>168</v>
      </c>
      <c r="AJ18" t="s">
        <v>177</v>
      </c>
      <c r="AK18" s="1">
        <v>3</v>
      </c>
      <c r="AL18" s="1" t="s">
        <v>178</v>
      </c>
      <c r="AM18" s="1">
        <v>12</v>
      </c>
      <c r="AN18" s="1">
        <v>14</v>
      </c>
      <c r="AO18" s="1">
        <f t="shared" si="5"/>
        <v>168</v>
      </c>
      <c r="AQ18" t="s">
        <v>177</v>
      </c>
      <c r="AR18" s="1">
        <v>1.5</v>
      </c>
      <c r="AS18" s="1" t="s">
        <v>178</v>
      </c>
      <c r="AT18" s="1">
        <v>12</v>
      </c>
      <c r="AU18" s="1">
        <v>14</v>
      </c>
      <c r="AV18" s="1">
        <f t="shared" si="6"/>
        <v>168</v>
      </c>
    </row>
    <row r="19" spans="1:48" x14ac:dyDescent="0.25">
      <c r="C19" s="1" t="s">
        <v>179</v>
      </c>
      <c r="D19" s="1">
        <v>12</v>
      </c>
      <c r="E19" s="1">
        <v>15</v>
      </c>
      <c r="F19" s="1">
        <f t="shared" si="0"/>
        <v>180</v>
      </c>
      <c r="I19" s="1"/>
      <c r="J19" s="1" t="s">
        <v>244</v>
      </c>
      <c r="K19" s="1">
        <v>12</v>
      </c>
      <c r="L19" s="1">
        <v>21</v>
      </c>
      <c r="M19" s="1">
        <f t="shared" si="1"/>
        <v>252</v>
      </c>
      <c r="P19" s="1"/>
      <c r="Q19" s="1" t="s">
        <v>17</v>
      </c>
      <c r="R19" s="1">
        <v>12</v>
      </c>
      <c r="S19" s="1">
        <v>15</v>
      </c>
      <c r="T19" s="1">
        <f t="shared" si="2"/>
        <v>180</v>
      </c>
      <c r="W19" s="1"/>
      <c r="X19" s="1" t="s">
        <v>17</v>
      </c>
      <c r="Y19" s="1"/>
      <c r="Z19" s="1">
        <v>15</v>
      </c>
      <c r="AA19" s="1">
        <f t="shared" si="3"/>
        <v>0</v>
      </c>
      <c r="AD19" s="1"/>
      <c r="AE19" s="1" t="s">
        <v>17</v>
      </c>
      <c r="AF19" s="1">
        <v>12</v>
      </c>
      <c r="AG19" s="1">
        <v>15</v>
      </c>
      <c r="AH19" s="1">
        <f t="shared" si="4"/>
        <v>180</v>
      </c>
      <c r="AK19" s="1"/>
      <c r="AL19" s="1" t="s">
        <v>17</v>
      </c>
      <c r="AM19" s="1">
        <v>12</v>
      </c>
      <c r="AN19" s="1">
        <v>15</v>
      </c>
      <c r="AO19" s="1">
        <f t="shared" si="5"/>
        <v>180</v>
      </c>
      <c r="AR19" s="1"/>
      <c r="AS19" s="1" t="s">
        <v>17</v>
      </c>
      <c r="AT19" s="1">
        <v>12</v>
      </c>
      <c r="AU19" s="1">
        <v>15</v>
      </c>
      <c r="AV19" s="1">
        <f t="shared" si="6"/>
        <v>180</v>
      </c>
    </row>
    <row r="20" spans="1:48" x14ac:dyDescent="0.25">
      <c r="C20" s="2" t="s">
        <v>54</v>
      </c>
      <c r="D20" s="2">
        <v>7</v>
      </c>
      <c r="E20" s="1">
        <v>19</v>
      </c>
      <c r="F20" s="1">
        <f t="shared" si="0"/>
        <v>133</v>
      </c>
      <c r="I20" s="1"/>
      <c r="J20" s="1" t="s">
        <v>54</v>
      </c>
      <c r="K20" s="1">
        <v>0</v>
      </c>
      <c r="L20" s="1">
        <v>19</v>
      </c>
      <c r="M20" s="1">
        <f t="shared" si="1"/>
        <v>0</v>
      </c>
      <c r="P20" s="1"/>
      <c r="Q20" s="1" t="s">
        <v>54</v>
      </c>
      <c r="R20" s="1">
        <v>0</v>
      </c>
      <c r="S20" s="1">
        <v>19</v>
      </c>
      <c r="T20" s="1">
        <f t="shared" si="2"/>
        <v>0</v>
      </c>
      <c r="W20" s="1"/>
      <c r="X20" s="1" t="s">
        <v>54</v>
      </c>
      <c r="Y20" s="1">
        <v>8</v>
      </c>
      <c r="Z20" s="1">
        <v>19</v>
      </c>
      <c r="AA20" s="1">
        <f t="shared" si="3"/>
        <v>152</v>
      </c>
      <c r="AD20" s="1"/>
      <c r="AE20" s="1" t="s">
        <v>54</v>
      </c>
      <c r="AF20" s="1">
        <v>7</v>
      </c>
      <c r="AG20" s="1">
        <v>19</v>
      </c>
      <c r="AH20" s="1">
        <f t="shared" si="4"/>
        <v>133</v>
      </c>
      <c r="AK20" s="1"/>
      <c r="AL20" s="1" t="s">
        <v>244</v>
      </c>
      <c r="AM20" s="1">
        <v>12</v>
      </c>
      <c r="AN20" s="1">
        <v>20</v>
      </c>
      <c r="AO20" s="1">
        <f t="shared" si="5"/>
        <v>240</v>
      </c>
      <c r="AR20" s="1"/>
      <c r="AS20" s="1" t="s">
        <v>54</v>
      </c>
      <c r="AT20" s="1"/>
      <c r="AU20" s="1">
        <v>19</v>
      </c>
      <c r="AV20" s="1">
        <f t="shared" si="6"/>
        <v>0</v>
      </c>
    </row>
    <row r="21" spans="1:48" x14ac:dyDescent="0.25">
      <c r="C21" s="1" t="s">
        <v>180</v>
      </c>
      <c r="D21" s="1">
        <v>8</v>
      </c>
      <c r="E21" s="1">
        <v>17</v>
      </c>
      <c r="F21" s="1">
        <f t="shared" si="0"/>
        <v>136</v>
      </c>
      <c r="I21" s="1"/>
      <c r="J21" s="1" t="s">
        <v>180</v>
      </c>
      <c r="K21" s="1">
        <v>16</v>
      </c>
      <c r="L21" s="1">
        <v>17</v>
      </c>
      <c r="M21" s="1">
        <f t="shared" si="1"/>
        <v>272</v>
      </c>
      <c r="P21" s="1"/>
      <c r="Q21" s="1" t="s">
        <v>180</v>
      </c>
      <c r="R21" s="1">
        <v>0</v>
      </c>
      <c r="S21" s="1">
        <v>17</v>
      </c>
      <c r="T21" s="1">
        <f t="shared" si="2"/>
        <v>0</v>
      </c>
      <c r="V21" t="s">
        <v>281</v>
      </c>
      <c r="W21" s="1">
        <v>0.25</v>
      </c>
      <c r="X21" s="1" t="s">
        <v>282</v>
      </c>
      <c r="Y21" s="1">
        <v>6</v>
      </c>
      <c r="Z21" s="1">
        <v>11</v>
      </c>
      <c r="AA21" s="1">
        <f t="shared" si="3"/>
        <v>66</v>
      </c>
      <c r="AD21" s="1"/>
      <c r="AE21" s="1" t="s">
        <v>244</v>
      </c>
      <c r="AF21" s="1">
        <v>12</v>
      </c>
      <c r="AG21" s="1">
        <v>20</v>
      </c>
      <c r="AH21" s="1">
        <f t="shared" si="4"/>
        <v>240</v>
      </c>
      <c r="AK21" s="1"/>
      <c r="AL21" s="1" t="s">
        <v>180</v>
      </c>
      <c r="AM21" s="1">
        <v>8</v>
      </c>
      <c r="AN21" s="1">
        <v>17</v>
      </c>
      <c r="AO21" s="1">
        <f t="shared" si="5"/>
        <v>136</v>
      </c>
      <c r="AR21" s="1"/>
      <c r="AS21" s="1" t="s">
        <v>180</v>
      </c>
      <c r="AT21" s="1"/>
      <c r="AU21" s="1">
        <v>17</v>
      </c>
      <c r="AV21" s="1">
        <f t="shared" si="6"/>
        <v>0</v>
      </c>
    </row>
    <row r="22" spans="1:48" x14ac:dyDescent="0.25">
      <c r="C22" s="1" t="s">
        <v>181</v>
      </c>
      <c r="D22" s="1">
        <v>10</v>
      </c>
      <c r="E22" s="1">
        <v>17</v>
      </c>
      <c r="F22" s="1">
        <f t="shared" si="0"/>
        <v>170</v>
      </c>
      <c r="I22" s="1"/>
      <c r="J22" s="1" t="s">
        <v>181</v>
      </c>
      <c r="K22" s="1">
        <v>10</v>
      </c>
      <c r="L22" s="1">
        <v>17</v>
      </c>
      <c r="M22" s="1">
        <f t="shared" si="1"/>
        <v>170</v>
      </c>
      <c r="P22" s="1"/>
      <c r="Q22" s="1" t="s">
        <v>181</v>
      </c>
      <c r="R22" s="1">
        <v>9</v>
      </c>
      <c r="S22" s="1">
        <v>17</v>
      </c>
      <c r="T22" s="1">
        <f t="shared" si="2"/>
        <v>153</v>
      </c>
      <c r="W22" s="1"/>
      <c r="X22" s="1" t="s">
        <v>181</v>
      </c>
      <c r="Y22" s="1">
        <v>9</v>
      </c>
      <c r="Z22" s="1">
        <v>17</v>
      </c>
      <c r="AA22" s="1">
        <f t="shared" si="3"/>
        <v>153</v>
      </c>
      <c r="AC22" t="s">
        <v>284</v>
      </c>
      <c r="AD22" s="1">
        <v>1</v>
      </c>
      <c r="AE22" s="1" t="s">
        <v>284</v>
      </c>
      <c r="AF22" s="1">
        <v>36</v>
      </c>
      <c r="AG22" s="1">
        <v>12</v>
      </c>
      <c r="AH22" s="1">
        <f t="shared" si="4"/>
        <v>432</v>
      </c>
      <c r="AK22" s="1"/>
      <c r="AL22" s="1" t="s">
        <v>181</v>
      </c>
      <c r="AM22" s="1">
        <v>9</v>
      </c>
      <c r="AN22" s="1">
        <v>17</v>
      </c>
      <c r="AO22" s="1">
        <f t="shared" si="5"/>
        <v>153</v>
      </c>
      <c r="AR22" s="1"/>
      <c r="AS22" s="1" t="s">
        <v>181</v>
      </c>
      <c r="AT22" s="1">
        <v>9</v>
      </c>
      <c r="AU22" s="1">
        <v>17</v>
      </c>
      <c r="AV22" s="1">
        <f t="shared" si="6"/>
        <v>153</v>
      </c>
    </row>
    <row r="23" spans="1:48" x14ac:dyDescent="0.25">
      <c r="C23" s="1" t="s">
        <v>62</v>
      </c>
      <c r="D23" s="1">
        <v>9</v>
      </c>
      <c r="E23" s="1">
        <v>13</v>
      </c>
      <c r="F23" s="1">
        <f t="shared" si="0"/>
        <v>117</v>
      </c>
      <c r="I23" s="1"/>
      <c r="J23" s="1" t="s">
        <v>62</v>
      </c>
      <c r="K23" s="1">
        <v>10</v>
      </c>
      <c r="L23" s="1">
        <v>13</v>
      </c>
      <c r="M23" s="1">
        <f t="shared" si="1"/>
        <v>130</v>
      </c>
      <c r="P23" s="1"/>
      <c r="Q23" s="1" t="s">
        <v>62</v>
      </c>
      <c r="R23" s="1">
        <v>0</v>
      </c>
      <c r="S23" s="1">
        <v>13</v>
      </c>
      <c r="T23" s="1">
        <f t="shared" si="2"/>
        <v>0</v>
      </c>
      <c r="W23" s="1"/>
      <c r="X23" s="1" t="s">
        <v>62</v>
      </c>
      <c r="Y23" s="1">
        <v>10</v>
      </c>
      <c r="Z23" s="1">
        <v>13</v>
      </c>
      <c r="AA23" s="1">
        <f t="shared" si="3"/>
        <v>130</v>
      </c>
      <c r="AD23" s="1"/>
      <c r="AE23" s="1" t="s">
        <v>62</v>
      </c>
      <c r="AF23" s="1">
        <v>13</v>
      </c>
      <c r="AG23" s="1">
        <v>13</v>
      </c>
      <c r="AH23" s="1">
        <f t="shared" si="4"/>
        <v>169</v>
      </c>
      <c r="AK23" s="1"/>
      <c r="AL23" s="1" t="s">
        <v>62</v>
      </c>
      <c r="AM23" s="1">
        <v>10</v>
      </c>
      <c r="AN23" s="1">
        <v>13</v>
      </c>
      <c r="AO23" s="1">
        <f t="shared" si="5"/>
        <v>130</v>
      </c>
      <c r="AR23" s="1"/>
      <c r="AS23" s="1" t="s">
        <v>62</v>
      </c>
      <c r="AT23" s="1"/>
      <c r="AU23" s="1">
        <v>13</v>
      </c>
      <c r="AV23" s="1">
        <f t="shared" si="6"/>
        <v>0</v>
      </c>
    </row>
    <row r="24" spans="1:48" x14ac:dyDescent="0.25">
      <c r="C24" s="1" t="s">
        <v>182</v>
      </c>
      <c r="D24" s="1">
        <v>10</v>
      </c>
      <c r="E24" s="1">
        <v>14</v>
      </c>
      <c r="F24" s="1">
        <f t="shared" si="0"/>
        <v>140</v>
      </c>
      <c r="I24" s="1"/>
      <c r="J24" s="1" t="s">
        <v>182</v>
      </c>
      <c r="K24" s="1">
        <v>18</v>
      </c>
      <c r="L24" s="1">
        <v>14</v>
      </c>
      <c r="M24" s="1">
        <f t="shared" si="1"/>
        <v>252</v>
      </c>
      <c r="P24" s="1"/>
      <c r="Q24" s="1" t="s">
        <v>182</v>
      </c>
      <c r="R24" s="1">
        <v>0</v>
      </c>
      <c r="S24" s="1">
        <v>14</v>
      </c>
      <c r="T24" s="1">
        <f t="shared" si="2"/>
        <v>0</v>
      </c>
      <c r="W24" s="1"/>
      <c r="X24" s="1" t="s">
        <v>182</v>
      </c>
      <c r="Y24" s="1">
        <v>10</v>
      </c>
      <c r="Z24" s="1">
        <v>14</v>
      </c>
      <c r="AA24" s="1">
        <f t="shared" si="3"/>
        <v>140</v>
      </c>
      <c r="AD24" s="1"/>
      <c r="AE24" s="1" t="s">
        <v>182</v>
      </c>
      <c r="AF24" s="1">
        <v>12</v>
      </c>
      <c r="AG24" s="1">
        <v>14</v>
      </c>
      <c r="AH24" s="1">
        <f t="shared" si="4"/>
        <v>168</v>
      </c>
      <c r="AK24" s="1"/>
      <c r="AL24" s="1" t="s">
        <v>182</v>
      </c>
      <c r="AM24" s="1">
        <v>11</v>
      </c>
      <c r="AN24" s="1">
        <v>14</v>
      </c>
      <c r="AO24" s="1">
        <f t="shared" si="5"/>
        <v>154</v>
      </c>
      <c r="AR24" s="1"/>
      <c r="AS24" s="1" t="s">
        <v>182</v>
      </c>
      <c r="AT24" s="1">
        <v>7</v>
      </c>
      <c r="AU24" s="1">
        <v>14</v>
      </c>
      <c r="AV24" s="1">
        <f t="shared" si="6"/>
        <v>98</v>
      </c>
    </row>
    <row r="25" spans="1:48" x14ac:dyDescent="0.25">
      <c r="A25" t="s">
        <v>185</v>
      </c>
      <c r="B25">
        <v>0.5</v>
      </c>
      <c r="C25" s="2" t="s">
        <v>186</v>
      </c>
      <c r="D25" s="2">
        <v>9</v>
      </c>
      <c r="E25" s="1">
        <v>14</v>
      </c>
      <c r="F25" s="1">
        <f t="shared" si="0"/>
        <v>126</v>
      </c>
      <c r="H25" t="s">
        <v>241</v>
      </c>
      <c r="I25" s="1">
        <v>1</v>
      </c>
      <c r="J25" s="1" t="s">
        <v>242</v>
      </c>
      <c r="K25" s="1">
        <v>28</v>
      </c>
      <c r="L25" s="1">
        <v>11</v>
      </c>
      <c r="M25" s="1">
        <f t="shared" si="1"/>
        <v>308</v>
      </c>
      <c r="O25" t="s">
        <v>241</v>
      </c>
      <c r="P25" s="1">
        <v>1</v>
      </c>
      <c r="Q25" s="1" t="s">
        <v>242</v>
      </c>
      <c r="R25" s="1">
        <v>6</v>
      </c>
      <c r="S25" s="1">
        <v>11</v>
      </c>
      <c r="T25" s="1">
        <f t="shared" si="2"/>
        <v>66</v>
      </c>
      <c r="V25" t="s">
        <v>191</v>
      </c>
      <c r="W25" s="1">
        <v>0.9</v>
      </c>
      <c r="X25" s="1" t="s">
        <v>192</v>
      </c>
      <c r="Y25" s="1">
        <v>24</v>
      </c>
      <c r="Z25" s="1">
        <v>15</v>
      </c>
      <c r="AA25" s="1">
        <f t="shared" si="3"/>
        <v>360</v>
      </c>
      <c r="AC25" t="s">
        <v>241</v>
      </c>
      <c r="AD25" s="1"/>
      <c r="AE25" s="1" t="s">
        <v>242</v>
      </c>
      <c r="AF25" s="1"/>
      <c r="AG25" s="1">
        <v>11</v>
      </c>
      <c r="AH25" s="1">
        <f t="shared" si="4"/>
        <v>0</v>
      </c>
      <c r="AJ25" t="s">
        <v>185</v>
      </c>
      <c r="AK25" s="1">
        <v>0.5</v>
      </c>
      <c r="AL25" s="1" t="s">
        <v>186</v>
      </c>
      <c r="AM25" s="1">
        <v>10</v>
      </c>
      <c r="AN25" s="1">
        <v>14</v>
      </c>
      <c r="AO25" s="1">
        <f t="shared" si="5"/>
        <v>140</v>
      </c>
      <c r="AQ25" t="s">
        <v>241</v>
      </c>
      <c r="AR25" s="1"/>
      <c r="AS25" s="1" t="s">
        <v>242</v>
      </c>
      <c r="AT25" s="1"/>
      <c r="AU25" s="1">
        <v>11</v>
      </c>
      <c r="AV25" s="1">
        <f t="shared" si="6"/>
        <v>0</v>
      </c>
    </row>
    <row r="26" spans="1:48" x14ac:dyDescent="0.25">
      <c r="A26" t="s">
        <v>187</v>
      </c>
      <c r="B26">
        <v>1</v>
      </c>
      <c r="C26" s="1" t="s">
        <v>188</v>
      </c>
      <c r="D26" s="1">
        <v>18</v>
      </c>
      <c r="E26" s="1">
        <v>11</v>
      </c>
      <c r="F26" s="1">
        <f t="shared" si="0"/>
        <v>198</v>
      </c>
      <c r="H26" t="s">
        <v>216</v>
      </c>
      <c r="I26" s="1">
        <v>0.5</v>
      </c>
      <c r="J26" s="1" t="s">
        <v>236</v>
      </c>
      <c r="K26" s="1">
        <v>5</v>
      </c>
      <c r="L26" s="1">
        <v>13</v>
      </c>
      <c r="M26" s="1">
        <f t="shared" si="1"/>
        <v>65</v>
      </c>
      <c r="O26" t="s">
        <v>216</v>
      </c>
      <c r="P26" s="1">
        <v>0.5</v>
      </c>
      <c r="Q26" s="1" t="s">
        <v>236</v>
      </c>
      <c r="R26" s="1">
        <v>4</v>
      </c>
      <c r="S26" s="1">
        <v>13</v>
      </c>
      <c r="T26" s="1">
        <f t="shared" si="2"/>
        <v>52</v>
      </c>
      <c r="V26" t="s">
        <v>277</v>
      </c>
      <c r="W26" s="1">
        <v>1</v>
      </c>
      <c r="X26" s="1" t="s">
        <v>278</v>
      </c>
      <c r="Y26" s="1">
        <v>24</v>
      </c>
      <c r="Z26" s="1">
        <v>12</v>
      </c>
      <c r="AA26" s="1">
        <f t="shared" si="3"/>
        <v>288</v>
      </c>
      <c r="AC26" t="s">
        <v>216</v>
      </c>
      <c r="AD26" s="1">
        <v>0.5</v>
      </c>
      <c r="AE26" s="1" t="s">
        <v>236</v>
      </c>
      <c r="AF26" s="1">
        <v>4</v>
      </c>
      <c r="AG26" s="1">
        <v>13</v>
      </c>
      <c r="AH26" s="1">
        <f t="shared" si="4"/>
        <v>52</v>
      </c>
      <c r="AJ26" t="s">
        <v>216</v>
      </c>
      <c r="AK26" s="1">
        <v>1</v>
      </c>
      <c r="AL26" s="1" t="s">
        <v>236</v>
      </c>
      <c r="AM26" s="1">
        <v>5</v>
      </c>
      <c r="AN26" s="1">
        <v>13</v>
      </c>
      <c r="AO26" s="1">
        <f t="shared" si="5"/>
        <v>65</v>
      </c>
      <c r="AQ26" t="s">
        <v>216</v>
      </c>
      <c r="AR26" s="1">
        <v>0.5</v>
      </c>
      <c r="AS26" s="1" t="s">
        <v>236</v>
      </c>
      <c r="AT26" s="1">
        <v>4</v>
      </c>
      <c r="AU26" s="1">
        <v>13</v>
      </c>
      <c r="AV26" s="1">
        <f t="shared" si="6"/>
        <v>52</v>
      </c>
    </row>
    <row r="27" spans="1:48" x14ac:dyDescent="0.25">
      <c r="C27" s="1" t="s">
        <v>189</v>
      </c>
      <c r="D27" s="1">
        <v>6</v>
      </c>
      <c r="E27" s="1">
        <v>13</v>
      </c>
      <c r="F27" s="1">
        <f t="shared" si="0"/>
        <v>78</v>
      </c>
      <c r="I27" s="1"/>
      <c r="J27" s="1" t="s">
        <v>237</v>
      </c>
      <c r="K27" s="1">
        <v>9</v>
      </c>
      <c r="L27" s="1">
        <v>14</v>
      </c>
      <c r="M27" s="1">
        <f t="shared" si="1"/>
        <v>126</v>
      </c>
      <c r="P27" s="1"/>
      <c r="Q27" s="1" t="s">
        <v>237</v>
      </c>
      <c r="R27" s="1">
        <v>10</v>
      </c>
      <c r="S27" s="1">
        <v>14</v>
      </c>
      <c r="T27" s="1">
        <f t="shared" si="2"/>
        <v>140</v>
      </c>
      <c r="V27" t="s">
        <v>69</v>
      </c>
      <c r="W27" s="1">
        <v>0.625</v>
      </c>
      <c r="X27" s="1" t="s">
        <v>279</v>
      </c>
      <c r="Y27" s="1">
        <v>45</v>
      </c>
      <c r="Z27" s="1">
        <v>3</v>
      </c>
      <c r="AA27" s="1">
        <f t="shared" si="3"/>
        <v>135</v>
      </c>
      <c r="AD27" s="1"/>
      <c r="AE27" s="1" t="s">
        <v>237</v>
      </c>
      <c r="AF27" s="1">
        <v>10</v>
      </c>
      <c r="AG27" s="1">
        <v>14</v>
      </c>
      <c r="AH27" s="1">
        <f t="shared" si="4"/>
        <v>140</v>
      </c>
      <c r="AK27" s="1"/>
      <c r="AL27" s="1" t="s">
        <v>237</v>
      </c>
      <c r="AM27" s="1">
        <v>24</v>
      </c>
      <c r="AN27" s="1">
        <v>14</v>
      </c>
      <c r="AO27" s="1">
        <f t="shared" si="5"/>
        <v>336</v>
      </c>
      <c r="AR27" s="1"/>
      <c r="AS27" s="1" t="s">
        <v>237</v>
      </c>
      <c r="AT27" s="1">
        <v>10</v>
      </c>
      <c r="AU27" s="1">
        <v>14</v>
      </c>
      <c r="AV27" s="1">
        <f t="shared" si="6"/>
        <v>140</v>
      </c>
    </row>
    <row r="28" spans="1:48" x14ac:dyDescent="0.25">
      <c r="A28" t="s">
        <v>190</v>
      </c>
      <c r="B28">
        <v>1</v>
      </c>
      <c r="C28" s="1" t="s">
        <v>80</v>
      </c>
      <c r="D28" s="1">
        <v>20</v>
      </c>
      <c r="E28" s="1">
        <v>21</v>
      </c>
      <c r="F28" s="1">
        <f t="shared" si="0"/>
        <v>420</v>
      </c>
      <c r="H28" t="s">
        <v>239</v>
      </c>
      <c r="I28" s="1">
        <v>0.5</v>
      </c>
      <c r="J28" s="1" t="s">
        <v>240</v>
      </c>
      <c r="K28" s="1">
        <v>12</v>
      </c>
      <c r="L28" s="1">
        <v>15</v>
      </c>
      <c r="M28" s="1">
        <f t="shared" si="1"/>
        <v>180</v>
      </c>
      <c r="P28" s="1">
        <v>0</v>
      </c>
      <c r="Q28" s="1" t="s">
        <v>240</v>
      </c>
      <c r="R28" s="1">
        <v>0</v>
      </c>
      <c r="S28" s="1">
        <v>15</v>
      </c>
      <c r="T28" s="1">
        <f t="shared" si="2"/>
        <v>0</v>
      </c>
      <c r="V28" t="s">
        <v>185</v>
      </c>
      <c r="W28" s="1">
        <v>0.5</v>
      </c>
      <c r="X28" s="1" t="s">
        <v>186</v>
      </c>
      <c r="Y28" s="1">
        <v>10</v>
      </c>
      <c r="Z28" s="1">
        <v>14</v>
      </c>
      <c r="AA28" s="1">
        <f t="shared" si="3"/>
        <v>140</v>
      </c>
      <c r="AC28" t="s">
        <v>285</v>
      </c>
      <c r="AD28" s="1">
        <v>1</v>
      </c>
      <c r="AE28" s="1" t="s">
        <v>188</v>
      </c>
      <c r="AF28" s="1">
        <v>6</v>
      </c>
      <c r="AG28" s="1">
        <v>11</v>
      </c>
      <c r="AH28" s="1">
        <f t="shared" si="4"/>
        <v>66</v>
      </c>
      <c r="AK28" s="1"/>
      <c r="AL28" s="1" t="s">
        <v>240</v>
      </c>
      <c r="AM28" s="1"/>
      <c r="AN28" s="1">
        <v>15</v>
      </c>
      <c r="AO28" s="1">
        <f t="shared" si="5"/>
        <v>0</v>
      </c>
      <c r="AQ28" t="s">
        <v>285</v>
      </c>
      <c r="AR28" s="1">
        <v>0.5</v>
      </c>
      <c r="AS28" s="1" t="s">
        <v>188</v>
      </c>
      <c r="AT28" s="1">
        <v>12</v>
      </c>
      <c r="AU28" s="1">
        <v>11</v>
      </c>
      <c r="AV28" s="1">
        <f t="shared" si="6"/>
        <v>132</v>
      </c>
    </row>
    <row r="29" spans="1:48" x14ac:dyDescent="0.25">
      <c r="A29" t="s">
        <v>191</v>
      </c>
      <c r="B29">
        <v>0.45</v>
      </c>
      <c r="C29" s="1" t="s">
        <v>192</v>
      </c>
      <c r="D29" s="1">
        <v>12</v>
      </c>
      <c r="E29" s="1">
        <v>15</v>
      </c>
      <c r="F29" s="1">
        <f t="shared" si="0"/>
        <v>180</v>
      </c>
      <c r="H29" t="s">
        <v>191</v>
      </c>
      <c r="I29" s="1">
        <v>0.9</v>
      </c>
      <c r="J29" s="1" t="s">
        <v>192</v>
      </c>
      <c r="K29" s="1">
        <v>22</v>
      </c>
      <c r="L29" s="1">
        <v>15</v>
      </c>
      <c r="M29" s="1">
        <f t="shared" si="1"/>
        <v>330</v>
      </c>
      <c r="P29" s="1">
        <v>0</v>
      </c>
      <c r="Q29" s="1" t="s">
        <v>192</v>
      </c>
      <c r="R29" s="1">
        <v>0</v>
      </c>
      <c r="S29" s="1">
        <v>15</v>
      </c>
      <c r="T29" s="1">
        <f t="shared" si="2"/>
        <v>0</v>
      </c>
      <c r="V29" t="s">
        <v>190</v>
      </c>
      <c r="W29" s="1">
        <v>1</v>
      </c>
      <c r="X29" s="1" t="s">
        <v>280</v>
      </c>
      <c r="Y29" s="1">
        <v>20</v>
      </c>
      <c r="Z29" s="1">
        <v>21</v>
      </c>
      <c r="AA29" s="1">
        <f t="shared" si="3"/>
        <v>420</v>
      </c>
      <c r="AD29" s="1"/>
      <c r="AE29" s="1" t="s">
        <v>286</v>
      </c>
      <c r="AF29" s="1">
        <v>18</v>
      </c>
      <c r="AG29" s="1">
        <v>13</v>
      </c>
      <c r="AH29" s="1">
        <f t="shared" si="4"/>
        <v>234</v>
      </c>
      <c r="AK29" s="1"/>
      <c r="AL29" s="1" t="s">
        <v>192</v>
      </c>
      <c r="AM29" s="1"/>
      <c r="AN29" s="1">
        <v>15</v>
      </c>
      <c r="AO29" s="1">
        <f t="shared" si="5"/>
        <v>0</v>
      </c>
      <c r="AR29" s="1"/>
      <c r="AS29" s="1" t="s">
        <v>192</v>
      </c>
      <c r="AT29" s="1"/>
      <c r="AU29" s="1">
        <v>15</v>
      </c>
      <c r="AV29" s="1">
        <f t="shared" si="6"/>
        <v>0</v>
      </c>
    </row>
    <row r="30" spans="1:48" x14ac:dyDescent="0.25">
      <c r="A30" t="s">
        <v>193</v>
      </c>
      <c r="B30">
        <v>0.5</v>
      </c>
      <c r="C30" s="1" t="s">
        <v>194</v>
      </c>
      <c r="D30" s="1">
        <v>6</v>
      </c>
      <c r="E30" s="1">
        <v>19</v>
      </c>
      <c r="F30" s="1">
        <f t="shared" si="0"/>
        <v>114</v>
      </c>
      <c r="H30" t="s">
        <v>193</v>
      </c>
      <c r="I30" s="1">
        <v>0.5</v>
      </c>
      <c r="J30" s="1" t="s">
        <v>194</v>
      </c>
      <c r="K30" s="1">
        <v>6</v>
      </c>
      <c r="L30" s="1">
        <v>19</v>
      </c>
      <c r="M30" s="1">
        <f t="shared" si="1"/>
        <v>114</v>
      </c>
      <c r="O30" t="s">
        <v>193</v>
      </c>
      <c r="P30" s="1">
        <v>0.5</v>
      </c>
      <c r="Q30" s="1" t="s">
        <v>194</v>
      </c>
      <c r="R30" s="1">
        <v>0</v>
      </c>
      <c r="S30" s="1">
        <v>19</v>
      </c>
      <c r="T30" s="1">
        <f t="shared" si="2"/>
        <v>0</v>
      </c>
      <c r="V30" t="s">
        <v>193</v>
      </c>
      <c r="W30" s="1">
        <v>0.5</v>
      </c>
      <c r="X30" s="1" t="s">
        <v>194</v>
      </c>
      <c r="Y30" s="1">
        <v>11</v>
      </c>
      <c r="Z30" s="1">
        <v>19</v>
      </c>
      <c r="AA30" s="1">
        <f t="shared" si="3"/>
        <v>209</v>
      </c>
      <c r="AC30" t="s">
        <v>193</v>
      </c>
      <c r="AD30" s="1"/>
      <c r="AE30" s="1" t="s">
        <v>194</v>
      </c>
      <c r="AF30" s="1"/>
      <c r="AG30" s="1">
        <v>19</v>
      </c>
      <c r="AH30" s="1">
        <f t="shared" si="4"/>
        <v>0</v>
      </c>
      <c r="AJ30" t="s">
        <v>193</v>
      </c>
      <c r="AK30" s="1">
        <v>0.6</v>
      </c>
      <c r="AL30" s="1" t="s">
        <v>194</v>
      </c>
      <c r="AM30" s="1">
        <v>14</v>
      </c>
      <c r="AN30" s="1">
        <v>19</v>
      </c>
      <c r="AO30" s="1">
        <f t="shared" si="5"/>
        <v>266</v>
      </c>
      <c r="AQ30" t="s">
        <v>193</v>
      </c>
      <c r="AR30" s="1"/>
      <c r="AS30" s="1" t="s">
        <v>194</v>
      </c>
      <c r="AT30" s="1"/>
      <c r="AU30" s="1">
        <v>19</v>
      </c>
      <c r="AV30" s="1">
        <f t="shared" si="6"/>
        <v>0</v>
      </c>
    </row>
    <row r="31" spans="1:48" x14ac:dyDescent="0.25">
      <c r="C31" s="1" t="s">
        <v>195</v>
      </c>
      <c r="D31" s="1">
        <v>3</v>
      </c>
      <c r="E31" s="1">
        <v>22</v>
      </c>
      <c r="F31" s="1">
        <f t="shared" si="0"/>
        <v>66</v>
      </c>
      <c r="I31" s="1"/>
      <c r="J31" s="1" t="s">
        <v>195</v>
      </c>
      <c r="K31" s="1">
        <v>3</v>
      </c>
      <c r="L31" s="1">
        <v>22</v>
      </c>
      <c r="M31" s="1">
        <f t="shared" si="1"/>
        <v>66</v>
      </c>
      <c r="P31" s="1"/>
      <c r="Q31" s="1" t="s">
        <v>195</v>
      </c>
      <c r="R31" s="1">
        <v>0</v>
      </c>
      <c r="S31" s="1">
        <v>22</v>
      </c>
      <c r="T31" s="1">
        <f t="shared" si="2"/>
        <v>0</v>
      </c>
      <c r="W31" s="1"/>
      <c r="X31" s="1" t="s">
        <v>195</v>
      </c>
      <c r="Y31" s="1">
        <v>4</v>
      </c>
      <c r="Z31" s="1">
        <v>22</v>
      </c>
      <c r="AA31" s="1">
        <f t="shared" si="3"/>
        <v>88</v>
      </c>
      <c r="AD31" s="1"/>
      <c r="AE31" s="1" t="s">
        <v>195</v>
      </c>
      <c r="AF31" s="1"/>
      <c r="AG31" s="1">
        <v>22</v>
      </c>
      <c r="AH31" s="1">
        <f t="shared" si="4"/>
        <v>0</v>
      </c>
      <c r="AK31" s="1"/>
      <c r="AL31" s="1" t="s">
        <v>195</v>
      </c>
      <c r="AM31" s="1">
        <v>6</v>
      </c>
      <c r="AN31" s="1">
        <v>22</v>
      </c>
      <c r="AO31" s="1">
        <f t="shared" si="5"/>
        <v>132</v>
      </c>
      <c r="AR31" s="1"/>
      <c r="AS31" s="1" t="s">
        <v>195</v>
      </c>
      <c r="AT31" s="1"/>
      <c r="AU31" s="1">
        <v>22</v>
      </c>
      <c r="AV31" s="1">
        <f t="shared" si="6"/>
        <v>0</v>
      </c>
    </row>
    <row r="32" spans="1:48" x14ac:dyDescent="0.25">
      <c r="A32" t="s">
        <v>26</v>
      </c>
      <c r="B32">
        <v>1.5</v>
      </c>
      <c r="C32" s="1" t="s">
        <v>26</v>
      </c>
      <c r="D32" s="1">
        <v>12</v>
      </c>
      <c r="E32" s="1">
        <v>16</v>
      </c>
      <c r="F32" s="1">
        <f t="shared" si="0"/>
        <v>192</v>
      </c>
      <c r="H32" t="s">
        <v>26</v>
      </c>
      <c r="I32" s="1">
        <v>1</v>
      </c>
      <c r="J32" s="1" t="s">
        <v>26</v>
      </c>
      <c r="K32" s="1">
        <v>0</v>
      </c>
      <c r="L32" s="1">
        <v>16</v>
      </c>
      <c r="M32" s="1">
        <f t="shared" si="1"/>
        <v>0</v>
      </c>
      <c r="O32" t="s">
        <v>26</v>
      </c>
      <c r="P32" s="1">
        <v>1</v>
      </c>
      <c r="Q32" s="1" t="s">
        <v>26</v>
      </c>
      <c r="R32" s="1">
        <v>0</v>
      </c>
      <c r="S32" s="1">
        <v>16</v>
      </c>
      <c r="T32" s="1">
        <f t="shared" si="2"/>
        <v>0</v>
      </c>
      <c r="V32" t="s">
        <v>26</v>
      </c>
      <c r="W32" s="1">
        <v>1</v>
      </c>
      <c r="X32" s="1" t="s">
        <v>26</v>
      </c>
      <c r="Y32" s="1">
        <v>12</v>
      </c>
      <c r="Z32" s="1">
        <v>16</v>
      </c>
      <c r="AA32" s="1">
        <f t="shared" si="3"/>
        <v>192</v>
      </c>
      <c r="AC32" t="s">
        <v>26</v>
      </c>
      <c r="AD32" s="1">
        <v>1</v>
      </c>
      <c r="AE32" s="1" t="s">
        <v>26</v>
      </c>
      <c r="AF32" s="1">
        <v>7</v>
      </c>
      <c r="AG32" s="1">
        <v>16</v>
      </c>
      <c r="AH32" s="1">
        <f t="shared" si="4"/>
        <v>112</v>
      </c>
      <c r="AJ32" t="s">
        <v>26</v>
      </c>
      <c r="AK32" s="1">
        <v>1.5</v>
      </c>
      <c r="AL32" s="1" t="s">
        <v>26</v>
      </c>
      <c r="AM32" s="1">
        <v>12</v>
      </c>
      <c r="AN32" s="1">
        <v>16</v>
      </c>
      <c r="AO32" s="1">
        <f t="shared" si="5"/>
        <v>192</v>
      </c>
      <c r="AQ32" t="s">
        <v>26</v>
      </c>
      <c r="AR32" s="1">
        <v>1</v>
      </c>
      <c r="AS32" s="1" t="s">
        <v>26</v>
      </c>
      <c r="AT32" s="1">
        <v>12</v>
      </c>
      <c r="AU32" s="1">
        <v>16</v>
      </c>
      <c r="AV32" s="1">
        <f t="shared" si="6"/>
        <v>192</v>
      </c>
    </row>
    <row r="33" spans="1:48" x14ac:dyDescent="0.25">
      <c r="C33" s="1" t="s">
        <v>57</v>
      </c>
      <c r="D33" s="1">
        <v>11</v>
      </c>
      <c r="E33" s="1">
        <v>14</v>
      </c>
      <c r="F33" s="1">
        <f t="shared" si="0"/>
        <v>154</v>
      </c>
      <c r="I33" s="1"/>
      <c r="J33" s="1" t="s">
        <v>57</v>
      </c>
      <c r="K33" s="1">
        <v>15</v>
      </c>
      <c r="L33" s="1">
        <v>14</v>
      </c>
      <c r="M33" s="1">
        <f t="shared" si="1"/>
        <v>210</v>
      </c>
      <c r="P33" s="1"/>
      <c r="Q33" s="1" t="s">
        <v>57</v>
      </c>
      <c r="R33" s="1">
        <v>0</v>
      </c>
      <c r="S33" s="1">
        <v>14</v>
      </c>
      <c r="T33" s="1">
        <f t="shared" si="2"/>
        <v>0</v>
      </c>
      <c r="W33" s="1"/>
      <c r="X33" s="1" t="s">
        <v>57</v>
      </c>
      <c r="Y33" s="1">
        <v>11</v>
      </c>
      <c r="Z33" s="1">
        <v>14</v>
      </c>
      <c r="AA33" s="1">
        <f t="shared" si="3"/>
        <v>154</v>
      </c>
      <c r="AD33" s="1"/>
      <c r="AE33" s="1" t="s">
        <v>57</v>
      </c>
      <c r="AF33" s="1">
        <v>7</v>
      </c>
      <c r="AG33" s="1">
        <v>14</v>
      </c>
      <c r="AH33" s="1">
        <f t="shared" si="4"/>
        <v>98</v>
      </c>
      <c r="AK33" s="1"/>
      <c r="AL33" s="1" t="s">
        <v>57</v>
      </c>
      <c r="AM33" s="1">
        <v>12</v>
      </c>
      <c r="AN33" s="1">
        <v>14</v>
      </c>
      <c r="AO33" s="1">
        <f t="shared" si="5"/>
        <v>168</v>
      </c>
      <c r="AR33" s="1"/>
      <c r="AS33" s="1" t="s">
        <v>57</v>
      </c>
      <c r="AT33" s="1">
        <v>2</v>
      </c>
      <c r="AU33" s="1">
        <v>14</v>
      </c>
      <c r="AV33" s="1">
        <f t="shared" si="6"/>
        <v>28</v>
      </c>
    </row>
    <row r="34" spans="1:48" x14ac:dyDescent="0.25">
      <c r="C34" s="1" t="s">
        <v>178</v>
      </c>
      <c r="D34" s="1">
        <v>10</v>
      </c>
      <c r="E34" s="1">
        <v>0</v>
      </c>
      <c r="F34" s="1">
        <f t="shared" si="0"/>
        <v>0</v>
      </c>
      <c r="I34" s="1"/>
      <c r="J34" s="1" t="s">
        <v>178</v>
      </c>
      <c r="K34" s="1">
        <v>0</v>
      </c>
      <c r="L34" s="1">
        <v>0</v>
      </c>
      <c r="M34" s="1">
        <f t="shared" si="1"/>
        <v>0</v>
      </c>
      <c r="P34" s="1"/>
      <c r="Q34" s="1" t="s">
        <v>178</v>
      </c>
      <c r="R34" s="1">
        <v>0</v>
      </c>
      <c r="S34" s="1">
        <v>0</v>
      </c>
      <c r="T34" s="1">
        <f t="shared" si="2"/>
        <v>0</v>
      </c>
      <c r="V34" t="s">
        <v>187</v>
      </c>
      <c r="W34" s="1">
        <v>1</v>
      </c>
      <c r="X34" s="1" t="s">
        <v>188</v>
      </c>
      <c r="Y34" s="1">
        <v>12</v>
      </c>
      <c r="Z34" s="1">
        <v>11</v>
      </c>
      <c r="AA34" s="1">
        <f t="shared" si="3"/>
        <v>132</v>
      </c>
      <c r="AC34" t="s">
        <v>287</v>
      </c>
      <c r="AD34" s="1">
        <v>0.9</v>
      </c>
      <c r="AE34" s="1" t="s">
        <v>288</v>
      </c>
      <c r="AF34" s="1">
        <v>12</v>
      </c>
      <c r="AG34" s="1">
        <v>15</v>
      </c>
      <c r="AH34" s="1">
        <f t="shared" si="4"/>
        <v>180</v>
      </c>
      <c r="AK34" s="1"/>
      <c r="AL34" s="1" t="s">
        <v>178</v>
      </c>
      <c r="AM34" s="1"/>
      <c r="AN34" s="1">
        <v>0</v>
      </c>
      <c r="AO34" s="1">
        <f t="shared" si="5"/>
        <v>0</v>
      </c>
      <c r="AR34" s="1"/>
      <c r="AS34" s="1" t="s">
        <v>178</v>
      </c>
      <c r="AT34" s="1"/>
      <c r="AU34" s="1">
        <v>0</v>
      </c>
      <c r="AV34" s="1">
        <f t="shared" si="6"/>
        <v>0</v>
      </c>
    </row>
    <row r="35" spans="1:48" x14ac:dyDescent="0.25">
      <c r="A35" t="s">
        <v>196</v>
      </c>
      <c r="B35">
        <v>1</v>
      </c>
      <c r="C35" s="1" t="s">
        <v>197</v>
      </c>
      <c r="D35" s="1">
        <v>24</v>
      </c>
      <c r="E35" s="1">
        <v>12</v>
      </c>
      <c r="F35" s="1">
        <f t="shared" si="0"/>
        <v>288</v>
      </c>
      <c r="I35" s="1"/>
      <c r="J35" s="1" t="s">
        <v>197</v>
      </c>
      <c r="K35" s="1">
        <v>0</v>
      </c>
      <c r="L35" s="1">
        <v>12</v>
      </c>
      <c r="M35" s="1">
        <f t="shared" si="1"/>
        <v>0</v>
      </c>
      <c r="P35" s="1"/>
      <c r="Q35" s="1" t="s">
        <v>197</v>
      </c>
      <c r="R35" s="1">
        <v>0</v>
      </c>
      <c r="S35" s="1">
        <v>12</v>
      </c>
      <c r="T35" s="1">
        <f t="shared" si="2"/>
        <v>0</v>
      </c>
      <c r="W35" s="1"/>
      <c r="X35" s="1" t="s">
        <v>189</v>
      </c>
      <c r="Y35" s="1">
        <v>12</v>
      </c>
      <c r="Z35" s="1">
        <v>13</v>
      </c>
      <c r="AA35" s="1">
        <f t="shared" si="3"/>
        <v>156</v>
      </c>
      <c r="AC35" t="s">
        <v>289</v>
      </c>
      <c r="AD35" s="1">
        <v>1</v>
      </c>
      <c r="AE35" s="1" t="s">
        <v>290</v>
      </c>
      <c r="AF35" s="1">
        <v>24</v>
      </c>
      <c r="AG35" s="1">
        <v>11</v>
      </c>
      <c r="AH35" s="1">
        <f t="shared" si="4"/>
        <v>264</v>
      </c>
      <c r="AK35" s="1"/>
      <c r="AL35" s="1" t="s">
        <v>197</v>
      </c>
      <c r="AM35" s="1"/>
      <c r="AN35" s="1">
        <v>12</v>
      </c>
      <c r="AO35" s="1">
        <f t="shared" si="5"/>
        <v>0</v>
      </c>
      <c r="AR35" s="1"/>
      <c r="AS35" s="1" t="s">
        <v>197</v>
      </c>
      <c r="AT35" s="1"/>
      <c r="AU35" s="1">
        <v>12</v>
      </c>
      <c r="AV35" s="1">
        <f t="shared" si="6"/>
        <v>0</v>
      </c>
    </row>
    <row r="36" spans="1:48" x14ac:dyDescent="0.25">
      <c r="A36" t="s">
        <v>198</v>
      </c>
      <c r="B36">
        <v>21</v>
      </c>
      <c r="C36" s="1" t="s">
        <v>199</v>
      </c>
      <c r="D36" s="1">
        <v>60</v>
      </c>
      <c r="E36" s="1">
        <v>4</v>
      </c>
      <c r="F36" s="1">
        <f t="shared" si="0"/>
        <v>240</v>
      </c>
      <c r="H36" t="s">
        <v>198</v>
      </c>
      <c r="I36" s="1">
        <v>24</v>
      </c>
      <c r="J36" s="1" t="s">
        <v>199</v>
      </c>
      <c r="K36" s="1">
        <v>84</v>
      </c>
      <c r="L36" s="1">
        <v>4</v>
      </c>
      <c r="M36" s="1">
        <f t="shared" si="1"/>
        <v>336</v>
      </c>
      <c r="O36" t="s">
        <v>198</v>
      </c>
      <c r="P36" s="1">
        <v>21</v>
      </c>
      <c r="Q36" s="1" t="s">
        <v>199</v>
      </c>
      <c r="R36" s="1">
        <v>84</v>
      </c>
      <c r="S36" s="1">
        <v>4</v>
      </c>
      <c r="T36" s="1">
        <f t="shared" si="2"/>
        <v>336</v>
      </c>
      <c r="V36" t="s">
        <v>198</v>
      </c>
      <c r="W36" s="1">
        <v>18</v>
      </c>
      <c r="X36" s="1" t="s">
        <v>199</v>
      </c>
      <c r="Y36" s="1">
        <v>60</v>
      </c>
      <c r="Z36" s="1">
        <v>4</v>
      </c>
      <c r="AA36" s="1">
        <f t="shared" si="3"/>
        <v>240</v>
      </c>
      <c r="AC36" t="s">
        <v>198</v>
      </c>
      <c r="AD36" s="1">
        <v>24</v>
      </c>
      <c r="AE36" s="1" t="s">
        <v>199</v>
      </c>
      <c r="AF36" s="1"/>
      <c r="AG36" s="1">
        <v>4</v>
      </c>
      <c r="AH36" s="1">
        <f t="shared" si="4"/>
        <v>0</v>
      </c>
      <c r="AJ36" t="s">
        <v>198</v>
      </c>
      <c r="AK36" s="1">
        <v>18</v>
      </c>
      <c r="AL36" s="1" t="s">
        <v>199</v>
      </c>
      <c r="AM36" s="1">
        <v>60</v>
      </c>
      <c r="AN36" s="1">
        <v>4</v>
      </c>
      <c r="AO36" s="1">
        <f t="shared" si="5"/>
        <v>240</v>
      </c>
      <c r="AQ36" t="s">
        <v>198</v>
      </c>
      <c r="AR36" s="1">
        <v>30</v>
      </c>
      <c r="AS36" s="1" t="s">
        <v>199</v>
      </c>
      <c r="AT36" s="1">
        <v>60</v>
      </c>
      <c r="AU36" s="1">
        <v>4</v>
      </c>
      <c r="AV36" s="1">
        <f t="shared" si="6"/>
        <v>240</v>
      </c>
    </row>
    <row r="37" spans="1:48" x14ac:dyDescent="0.25">
      <c r="A37" t="s">
        <v>216</v>
      </c>
      <c r="B37">
        <v>0.5</v>
      </c>
      <c r="C37" s="2" t="s">
        <v>217</v>
      </c>
      <c r="D37" s="2">
        <v>12</v>
      </c>
      <c r="E37" s="1">
        <v>14</v>
      </c>
      <c r="F37" s="1">
        <f t="shared" si="0"/>
        <v>168</v>
      </c>
      <c r="I37" s="1"/>
      <c r="J37" s="1" t="s">
        <v>243</v>
      </c>
      <c r="K37" s="1">
        <v>300</v>
      </c>
      <c r="L37" s="1">
        <v>3.5</v>
      </c>
      <c r="M37" s="1">
        <f t="shared" si="1"/>
        <v>1050</v>
      </c>
      <c r="P37" s="1"/>
      <c r="Q37" s="1" t="s">
        <v>243</v>
      </c>
      <c r="R37" s="1">
        <v>300</v>
      </c>
      <c r="S37" s="1">
        <v>3.5</v>
      </c>
      <c r="T37" s="1">
        <f t="shared" si="2"/>
        <v>1050</v>
      </c>
      <c r="W37" s="1"/>
      <c r="X37" s="1" t="s">
        <v>243</v>
      </c>
      <c r="Y37" s="1">
        <v>264</v>
      </c>
      <c r="Z37" s="1">
        <v>3.5</v>
      </c>
      <c r="AA37" s="1">
        <f t="shared" si="3"/>
        <v>924</v>
      </c>
      <c r="AD37" s="1"/>
      <c r="AE37" s="1" t="s">
        <v>243</v>
      </c>
      <c r="AF37" s="1"/>
      <c r="AG37" s="1">
        <v>3.5</v>
      </c>
      <c r="AH37" s="1">
        <f t="shared" si="4"/>
        <v>0</v>
      </c>
      <c r="AK37" s="1"/>
      <c r="AL37" s="1" t="s">
        <v>243</v>
      </c>
      <c r="AM37" s="1">
        <v>264</v>
      </c>
      <c r="AN37" s="1">
        <v>3.5</v>
      </c>
      <c r="AO37" s="1">
        <f t="shared" si="5"/>
        <v>924</v>
      </c>
      <c r="AR37" s="1"/>
      <c r="AS37" s="1" t="s">
        <v>243</v>
      </c>
      <c r="AT37" s="1">
        <v>480</v>
      </c>
      <c r="AU37" s="1">
        <v>3.5</v>
      </c>
      <c r="AV37" s="1">
        <f t="shared" si="6"/>
        <v>1680</v>
      </c>
    </row>
    <row r="38" spans="1:48" x14ac:dyDescent="0.25">
      <c r="C38" s="1"/>
      <c r="D38" s="1"/>
      <c r="E38" s="1"/>
      <c r="F38" s="1"/>
      <c r="I38" s="1"/>
      <c r="J38" s="1"/>
      <c r="K38" s="1"/>
      <c r="L38" s="1"/>
      <c r="M38" s="1"/>
      <c r="P38" s="1"/>
      <c r="Q38" s="1"/>
      <c r="R38" s="1"/>
      <c r="S38" s="1"/>
      <c r="T38" s="1"/>
      <c r="W38" s="1"/>
      <c r="X38" s="1"/>
      <c r="Y38" s="1"/>
      <c r="Z38" s="1"/>
      <c r="AA38" s="1"/>
      <c r="AD38" s="1"/>
      <c r="AE38" s="1"/>
      <c r="AF38" s="1"/>
      <c r="AG38" s="1"/>
      <c r="AH38" s="1"/>
      <c r="AK38" s="1"/>
      <c r="AL38" s="1"/>
      <c r="AM38" s="1"/>
      <c r="AN38" s="1"/>
      <c r="AO38" s="1"/>
      <c r="AR38" s="1"/>
      <c r="AS38" s="1"/>
      <c r="AT38" s="1"/>
      <c r="AU38" s="1"/>
      <c r="AV38" s="1"/>
    </row>
    <row r="39" spans="1:48" x14ac:dyDescent="0.25">
      <c r="C39" s="1" t="s">
        <v>84</v>
      </c>
      <c r="D39" s="1">
        <v>318</v>
      </c>
      <c r="E39" s="1">
        <v>3.5</v>
      </c>
      <c r="F39" s="1">
        <f t="shared" si="0"/>
        <v>1113</v>
      </c>
      <c r="I39" s="1"/>
      <c r="J39" s="1"/>
      <c r="K39" s="1">
        <v>0</v>
      </c>
      <c r="L39" s="1">
        <v>3.5</v>
      </c>
      <c r="M39" s="1">
        <f t="shared" ref="M39" si="7">K39*L39</f>
        <v>0</v>
      </c>
      <c r="P39" s="1"/>
      <c r="Q39" s="1"/>
      <c r="R39" s="1">
        <v>0</v>
      </c>
      <c r="S39" s="1">
        <v>3.5</v>
      </c>
      <c r="T39" s="1">
        <f t="shared" ref="T39" si="8">R39*S39</f>
        <v>0</v>
      </c>
      <c r="W39" s="1"/>
      <c r="X39" s="1"/>
      <c r="Y39" s="1">
        <v>0</v>
      </c>
      <c r="Z39" s="1">
        <v>3.5</v>
      </c>
      <c r="AA39" s="1">
        <f t="shared" ref="AA39" si="9">Y39*Z39</f>
        <v>0</v>
      </c>
      <c r="AD39" s="1"/>
      <c r="AE39" s="1"/>
      <c r="AF39" s="1"/>
      <c r="AG39" s="1">
        <v>3.5</v>
      </c>
      <c r="AH39" s="1">
        <f t="shared" ref="AH39" si="10">AF39*AG39</f>
        <v>0</v>
      </c>
      <c r="AK39" s="1"/>
      <c r="AL39" s="1"/>
      <c r="AM39" s="1"/>
      <c r="AN39" s="1">
        <v>3.5</v>
      </c>
      <c r="AO39" s="1">
        <f t="shared" ref="AO39" si="11">AM39*AN39</f>
        <v>0</v>
      </c>
      <c r="AR39" s="1"/>
      <c r="AS39" s="1"/>
      <c r="AT39" s="1"/>
      <c r="AU39" s="1">
        <v>3.5</v>
      </c>
      <c r="AV39" s="1">
        <f t="shared" ref="AV39" si="12">AT39*AU39</f>
        <v>0</v>
      </c>
    </row>
    <row r="40" spans="1:48" x14ac:dyDescent="0.25">
      <c r="A40" t="s">
        <v>8</v>
      </c>
      <c r="B40">
        <f>SUM(B3:B39)</f>
        <v>35.450000000000003</v>
      </c>
      <c r="C40" s="1"/>
      <c r="D40" s="1"/>
      <c r="E40" s="1"/>
      <c r="F40" s="1">
        <f>SUM(F4:F39)</f>
        <v>6179</v>
      </c>
      <c r="H40" t="s">
        <v>8</v>
      </c>
      <c r="I40" s="1">
        <f>SUM(I3:I39)</f>
        <v>37.65</v>
      </c>
      <c r="J40" s="1"/>
      <c r="K40" s="1"/>
      <c r="L40" s="1"/>
      <c r="M40" s="1">
        <f>SUM(M4:M39)</f>
        <v>6144</v>
      </c>
      <c r="O40" t="s">
        <v>8</v>
      </c>
      <c r="P40" s="1">
        <f>SUM(P3:P39)</f>
        <v>30.5</v>
      </c>
      <c r="Q40" s="1"/>
      <c r="R40" s="1"/>
      <c r="S40" s="1"/>
      <c r="T40" s="1">
        <f>SUM(T4:T39)</f>
        <v>3987</v>
      </c>
      <c r="V40" t="s">
        <v>8</v>
      </c>
      <c r="W40" s="1">
        <f>SUM(W3:W39)</f>
        <v>31.774999999999999</v>
      </c>
      <c r="X40" s="1"/>
      <c r="Y40" s="1"/>
      <c r="Z40" s="1"/>
      <c r="AA40" s="1">
        <f>SUM(AA4:AA39)</f>
        <v>6087</v>
      </c>
      <c r="AC40" t="s">
        <v>8</v>
      </c>
      <c r="AD40" s="1">
        <f>SUM(AD3:AD39)</f>
        <v>37.4</v>
      </c>
      <c r="AE40" s="1"/>
      <c r="AF40" s="1"/>
      <c r="AG40" s="1"/>
      <c r="AH40" s="1">
        <f>SUM(AH4:AH39)</f>
        <v>4665</v>
      </c>
      <c r="AJ40" t="s">
        <v>8</v>
      </c>
      <c r="AK40" s="1">
        <f>SUM(AK3:AK39)</f>
        <v>31.35</v>
      </c>
      <c r="AL40" s="1"/>
      <c r="AM40" s="1"/>
      <c r="AN40" s="1"/>
      <c r="AO40" s="1">
        <f>SUM(AO4:AO39)</f>
        <v>6368</v>
      </c>
      <c r="AQ40" t="s">
        <v>8</v>
      </c>
      <c r="AR40" s="1"/>
      <c r="AS40" s="1"/>
      <c r="AT40" s="1"/>
      <c r="AU40" s="1"/>
      <c r="AV40" s="1">
        <f>SUM(AV4:AV39)</f>
        <v>4842</v>
      </c>
    </row>
    <row r="45" spans="1:48" x14ac:dyDescent="0.25">
      <c r="E45" t="s">
        <v>294</v>
      </c>
      <c r="G45">
        <f>+F40+T40+AA40+AH40+AO40+AV40</f>
        <v>32128</v>
      </c>
    </row>
    <row r="46" spans="1:48" x14ac:dyDescent="0.25">
      <c r="E46" t="s">
        <v>295</v>
      </c>
      <c r="G46">
        <f>+G45/7</f>
        <v>4589.7142857142853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71D6-13CD-465F-9D6F-4BAD44097B9D}">
  <dimension ref="C1:O33"/>
  <sheetViews>
    <sheetView topLeftCell="A19" workbookViewId="0">
      <selection activeCell="H35" sqref="H35"/>
    </sheetView>
  </sheetViews>
  <sheetFormatPr baseColWidth="10" defaultRowHeight="15" x14ac:dyDescent="0.25"/>
  <sheetData>
    <row r="1" spans="3:15" x14ac:dyDescent="0.25">
      <c r="D1" t="s">
        <v>126</v>
      </c>
    </row>
    <row r="3" spans="3:15" x14ac:dyDescent="0.25">
      <c r="C3" t="s">
        <v>127</v>
      </c>
    </row>
    <row r="6" spans="3:15" x14ac:dyDescent="0.25">
      <c r="D6" t="s">
        <v>128</v>
      </c>
    </row>
    <row r="7" spans="3:15" x14ac:dyDescent="0.25">
      <c r="C7" s="1" t="s">
        <v>129</v>
      </c>
      <c r="D7" s="1" t="s">
        <v>130</v>
      </c>
      <c r="E7" s="1" t="s">
        <v>131</v>
      </c>
      <c r="F7" s="1" t="s">
        <v>132</v>
      </c>
      <c r="G7" s="1" t="s">
        <v>133</v>
      </c>
      <c r="J7" t="s">
        <v>134</v>
      </c>
    </row>
    <row r="8" spans="3:15" x14ac:dyDescent="0.25">
      <c r="C8" s="1"/>
      <c r="D8" s="1"/>
      <c r="E8" s="1"/>
      <c r="F8" s="1"/>
      <c r="G8" s="1"/>
      <c r="J8" t="s">
        <v>135</v>
      </c>
      <c r="K8" t="s">
        <v>129</v>
      </c>
      <c r="L8" t="s">
        <v>136</v>
      </c>
    </row>
    <row r="9" spans="3:15" x14ac:dyDescent="0.25">
      <c r="C9" s="1" t="s">
        <v>137</v>
      </c>
      <c r="D9" s="1">
        <v>300</v>
      </c>
      <c r="E9" s="1"/>
      <c r="F9" s="1">
        <v>1950</v>
      </c>
      <c r="G9" s="1">
        <f>F9-D9</f>
        <v>1650</v>
      </c>
      <c r="J9">
        <v>0</v>
      </c>
      <c r="L9">
        <v>0</v>
      </c>
    </row>
    <row r="10" spans="3:15" x14ac:dyDescent="0.25">
      <c r="C10" s="1" t="s">
        <v>138</v>
      </c>
      <c r="D10" s="1">
        <v>0</v>
      </c>
      <c r="E10" s="1">
        <v>73</v>
      </c>
      <c r="F10" s="1">
        <v>2650</v>
      </c>
      <c r="G10" s="1">
        <f>F10-E10-D10</f>
        <v>2577</v>
      </c>
      <c r="J10">
        <v>0</v>
      </c>
      <c r="L10">
        <v>0</v>
      </c>
    </row>
    <row r="11" spans="3:15" x14ac:dyDescent="0.25">
      <c r="C11" s="1" t="s">
        <v>139</v>
      </c>
      <c r="D11" s="1">
        <v>0</v>
      </c>
      <c r="E11" s="1"/>
      <c r="F11" s="1">
        <v>1950</v>
      </c>
      <c r="G11" s="1">
        <v>1950</v>
      </c>
      <c r="J11">
        <v>0</v>
      </c>
      <c r="L11">
        <v>0</v>
      </c>
      <c r="N11" t="s">
        <v>140</v>
      </c>
      <c r="O11" t="s">
        <v>141</v>
      </c>
    </row>
    <row r="12" spans="3:15" x14ac:dyDescent="0.25">
      <c r="C12" s="1" t="s">
        <v>142</v>
      </c>
      <c r="D12" s="1">
        <v>0</v>
      </c>
      <c r="E12" s="1"/>
      <c r="F12" s="1">
        <v>2800</v>
      </c>
      <c r="G12" s="1">
        <f>F12-D12-E12</f>
        <v>2800</v>
      </c>
      <c r="L12">
        <f>L9+L10+L11</f>
        <v>0</v>
      </c>
      <c r="N12">
        <f>+G20+G10+G12+G16+G22</f>
        <v>11754</v>
      </c>
      <c r="O12">
        <f>G12+G16+G10+G20</f>
        <v>9804</v>
      </c>
    </row>
    <row r="13" spans="3:15" x14ac:dyDescent="0.25">
      <c r="C13" s="1" t="s">
        <v>143</v>
      </c>
      <c r="D13" s="1">
        <v>18</v>
      </c>
      <c r="E13" s="1"/>
      <c r="F13" s="1"/>
      <c r="G13" s="1">
        <v>0</v>
      </c>
    </row>
    <row r="14" spans="3:15" x14ac:dyDescent="0.25">
      <c r="C14" s="1" t="s">
        <v>144</v>
      </c>
      <c r="D14" s="1">
        <v>12</v>
      </c>
      <c r="E14" s="1">
        <v>64</v>
      </c>
      <c r="F14" s="1">
        <v>1950</v>
      </c>
      <c r="G14" s="1">
        <f>F14-E14-D14</f>
        <v>1874</v>
      </c>
    </row>
    <row r="15" spans="3:15" x14ac:dyDescent="0.25">
      <c r="C15" s="1" t="s">
        <v>145</v>
      </c>
      <c r="D15" s="1">
        <v>0</v>
      </c>
      <c r="E15" s="1"/>
      <c r="F15" s="1">
        <v>2650</v>
      </c>
      <c r="G15" s="1">
        <f>F15-E15-D15</f>
        <v>2650</v>
      </c>
    </row>
    <row r="16" spans="3:15" x14ac:dyDescent="0.25">
      <c r="C16" s="1" t="s">
        <v>146</v>
      </c>
      <c r="D16" s="1">
        <v>0</v>
      </c>
      <c r="E16" s="1">
        <v>73</v>
      </c>
      <c r="F16" s="1">
        <v>2950</v>
      </c>
      <c r="G16" s="1">
        <f>F16-E16-D16</f>
        <v>2877</v>
      </c>
    </row>
    <row r="17" spans="3:15" x14ac:dyDescent="0.25">
      <c r="C17" s="1" t="s">
        <v>147</v>
      </c>
      <c r="D17" s="1">
        <v>349</v>
      </c>
      <c r="E17" s="1"/>
      <c r="F17" s="1">
        <v>1950</v>
      </c>
      <c r="G17" s="1">
        <f>F17-D17-E17</f>
        <v>1601</v>
      </c>
    </row>
    <row r="18" spans="3:15" x14ac:dyDescent="0.25">
      <c r="C18" s="1" t="s">
        <v>148</v>
      </c>
      <c r="D18" s="1">
        <v>0</v>
      </c>
      <c r="E18" s="1"/>
      <c r="F18" s="1">
        <v>1950</v>
      </c>
      <c r="G18" s="1">
        <f>F18-E18-D18</f>
        <v>1950</v>
      </c>
      <c r="N18" t="s">
        <v>149</v>
      </c>
      <c r="O18" t="s">
        <v>150</v>
      </c>
    </row>
    <row r="19" spans="3:15" x14ac:dyDescent="0.25">
      <c r="C19" s="1" t="s">
        <v>151</v>
      </c>
      <c r="D19" s="1">
        <v>0</v>
      </c>
      <c r="E19" s="1"/>
      <c r="F19" s="1">
        <v>1228</v>
      </c>
      <c r="G19" s="1">
        <v>1228</v>
      </c>
      <c r="N19">
        <f>G21+G17+G23+G14</f>
        <v>8432</v>
      </c>
      <c r="O19">
        <f>G21+G17+G14</f>
        <v>6552</v>
      </c>
    </row>
    <row r="20" spans="3:15" x14ac:dyDescent="0.25">
      <c r="C20" s="1" t="s">
        <v>152</v>
      </c>
      <c r="D20" s="1">
        <v>400</v>
      </c>
      <c r="E20" s="1"/>
      <c r="F20" s="1">
        <v>1950</v>
      </c>
      <c r="G20" s="1">
        <f>F20-E20-D20</f>
        <v>1550</v>
      </c>
    </row>
    <row r="21" spans="3:15" x14ac:dyDescent="0.25">
      <c r="C21" s="1" t="s">
        <v>153</v>
      </c>
      <c r="D21" s="1">
        <v>0</v>
      </c>
      <c r="E21" s="1">
        <v>73</v>
      </c>
      <c r="F21" s="1">
        <v>3150</v>
      </c>
      <c r="G21" s="1">
        <f>F21-E21-D21</f>
        <v>3077</v>
      </c>
    </row>
    <row r="22" spans="3:15" x14ac:dyDescent="0.25">
      <c r="C22" s="1" t="s">
        <v>154</v>
      </c>
      <c r="D22" s="1">
        <v>0</v>
      </c>
      <c r="E22" s="1"/>
      <c r="F22" s="1">
        <v>1950</v>
      </c>
      <c r="G22" s="1">
        <f>F22-E22-D22</f>
        <v>1950</v>
      </c>
      <c r="N22" t="s">
        <v>155</v>
      </c>
      <c r="O22" t="s">
        <v>156</v>
      </c>
    </row>
    <row r="23" spans="3:15" x14ac:dyDescent="0.25">
      <c r="C23" s="1" t="s">
        <v>157</v>
      </c>
      <c r="D23" s="1">
        <v>70</v>
      </c>
      <c r="E23" s="1"/>
      <c r="F23" s="1">
        <v>1950</v>
      </c>
      <c r="G23" s="1">
        <f>F23-E23-D23</f>
        <v>1880</v>
      </c>
      <c r="N23">
        <f>G15+G18+G11</f>
        <v>6550</v>
      </c>
      <c r="O23">
        <f>G15+G18</f>
        <v>4600</v>
      </c>
    </row>
    <row r="24" spans="3:15" x14ac:dyDescent="0.25">
      <c r="C24" s="1" t="s">
        <v>158</v>
      </c>
      <c r="D24" s="1">
        <v>0</v>
      </c>
      <c r="E24" s="1"/>
      <c r="F24" s="1">
        <v>0</v>
      </c>
      <c r="G24" s="1">
        <v>0</v>
      </c>
    </row>
    <row r="25" spans="3:15" x14ac:dyDescent="0.25">
      <c r="C25" s="1" t="s">
        <v>90</v>
      </c>
      <c r="D25" s="1">
        <v>0</v>
      </c>
      <c r="E25" s="1"/>
      <c r="F25" s="1">
        <f>F24+F23+F22+F21+F20+F19+F18+F17+F16+F15+F14+F13+F12+F11+F10+F9</f>
        <v>31028</v>
      </c>
      <c r="G25" s="1">
        <f>G9+G10+G11+G12+G13+G14+G15+G16+G17+G18+G19+G21+G20+G22+G24+G23</f>
        <v>29614</v>
      </c>
    </row>
    <row r="26" spans="3:15" x14ac:dyDescent="0.25">
      <c r="C26" s="1">
        <v>0</v>
      </c>
      <c r="D26" s="1" t="s">
        <v>159</v>
      </c>
      <c r="E26" s="1"/>
      <c r="F26" s="1"/>
      <c r="G26" s="1"/>
    </row>
    <row r="31" spans="3:15" x14ac:dyDescent="0.25">
      <c r="C31" t="s">
        <v>227</v>
      </c>
      <c r="D31" t="s">
        <v>228</v>
      </c>
      <c r="E31" t="s">
        <v>229</v>
      </c>
      <c r="G31" t="s">
        <v>231</v>
      </c>
      <c r="H31" t="s">
        <v>233</v>
      </c>
      <c r="I31" t="s">
        <v>229</v>
      </c>
    </row>
    <row r="33" spans="3:9" x14ac:dyDescent="0.25">
      <c r="C33" t="s">
        <v>230</v>
      </c>
      <c r="D33" s="3">
        <v>45860</v>
      </c>
      <c r="E33">
        <v>59</v>
      </c>
      <c r="G33" t="s">
        <v>232</v>
      </c>
      <c r="H33" s="3">
        <v>45859</v>
      </c>
      <c r="I3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Cortes</vt:lpstr>
      <vt:lpstr>Compras</vt:lpstr>
      <vt:lpstr>Producción</vt:lpstr>
      <vt:lpstr>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PC</dc:creator>
  <cp:lastModifiedBy>MAS PC</cp:lastModifiedBy>
  <dcterms:created xsi:type="dcterms:W3CDTF">2025-07-21T23:58:56Z</dcterms:created>
  <dcterms:modified xsi:type="dcterms:W3CDTF">2025-07-29T23:58:16Z</dcterms:modified>
</cp:coreProperties>
</file>