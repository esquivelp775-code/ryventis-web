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na\Downloads\"/>
    </mc:Choice>
  </mc:AlternateContent>
  <xr:revisionPtr revIDLastSave="0" documentId="13_ncr:1_{5D9796D5-6C92-4527-881B-D85B2E721299}" xr6:coauthVersionLast="47" xr6:coauthVersionMax="47" xr10:uidLastSave="{00000000-0000-0000-0000-000000000000}"/>
  <bookViews>
    <workbookView xWindow="-120" yWindow="-120" windowWidth="20640" windowHeight="11160" firstSheet="10" activeTab="12" xr2:uid="{1350302D-431E-4E8A-8895-4F7CCA582C7F}"/>
  </bookViews>
  <sheets>
    <sheet name="📊 Dashboard" sheetId="13" r:id="rId1"/>
    <sheet name="1. Resumen Ejecutivo" sheetId="1" r:id="rId2"/>
    <sheet name="2. Análisis de Mercado" sheetId="2" r:id="rId3"/>
    <sheet name="3. Propuesta de Valor" sheetId="3" r:id="rId4"/>
    <sheet name="4. Portafolio de Servicios" sheetId="4" r:id="rId5"/>
    <sheet name="5. Modelo de Ingresos" sheetId="5" r:id="rId6"/>
    <sheet name="6. Adquisición de Clientes" sheetId="6" r:id="rId7"/>
    <sheet name="7. Roadmap 0-5 Años" sheetId="7" r:id="rId8"/>
    <sheet name="8. Plan Operativo" sheetId="8" r:id="rId9"/>
    <sheet name="9. Stack Tecnológico" sheetId="9" r:id="rId10"/>
    <sheet name="10. Proyecciones Financieras" sheetId="10" r:id="rId11"/>
    <sheet name="11. Escalabilidad" sheetId="11" r:id="rId12"/>
    <sheet name="12. Riesgos y Mitigación" sheetId="12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5" i="13" l="1"/>
  <c r="E65" i="13"/>
  <c r="H65" i="13"/>
  <c r="B64" i="13"/>
  <c r="E64" i="13"/>
  <c r="H64" i="13"/>
  <c r="T6" i="13"/>
  <c r="S6" i="13"/>
  <c r="T5" i="13"/>
  <c r="S5" i="13"/>
  <c r="T4" i="13"/>
  <c r="S4" i="13"/>
  <c r="T3" i="13"/>
  <c r="S3" i="13"/>
  <c r="T2" i="13"/>
  <c r="S2" i="13"/>
  <c r="R25" i="13"/>
  <c r="Q25" i="13"/>
  <c r="R24" i="13"/>
  <c r="Q24" i="13"/>
  <c r="R23" i="13"/>
  <c r="Q23" i="13"/>
  <c r="R22" i="13"/>
  <c r="Q22" i="13"/>
  <c r="R21" i="13"/>
  <c r="Q21" i="13"/>
  <c r="R20" i="13"/>
  <c r="Q20" i="13"/>
  <c r="R19" i="13"/>
  <c r="Q19" i="13"/>
  <c r="R18" i="13"/>
  <c r="Q18" i="13"/>
  <c r="R17" i="13"/>
  <c r="Q17" i="13"/>
  <c r="R16" i="13"/>
  <c r="Q16" i="13"/>
  <c r="R15" i="13"/>
  <c r="Q15" i="13"/>
  <c r="R14" i="13"/>
  <c r="Q14" i="13"/>
  <c r="R13" i="13"/>
  <c r="Q13" i="13"/>
  <c r="R12" i="13"/>
  <c r="Q12" i="13"/>
  <c r="R11" i="13"/>
  <c r="Q11" i="13"/>
  <c r="R10" i="13"/>
  <c r="Q10" i="13"/>
  <c r="R9" i="13"/>
  <c r="Q9" i="13"/>
  <c r="R8" i="13"/>
  <c r="Q8" i="13"/>
  <c r="R7" i="13"/>
  <c r="Q7" i="13"/>
  <c r="R6" i="13"/>
  <c r="Q6" i="13"/>
  <c r="R5" i="13"/>
  <c r="Q5" i="13"/>
  <c r="R4" i="13"/>
  <c r="Q4" i="13"/>
  <c r="R3" i="13"/>
  <c r="Q3" i="13"/>
  <c r="R2" i="13"/>
  <c r="Q2" i="13"/>
  <c r="J17" i="13"/>
  <c r="K17" i="13"/>
  <c r="L17" i="13"/>
  <c r="M17" i="13"/>
  <c r="N17" i="13"/>
  <c r="O17" i="13"/>
  <c r="J16" i="13"/>
  <c r="K16" i="13"/>
  <c r="L16" i="13"/>
  <c r="M16" i="13"/>
  <c r="N16" i="13"/>
  <c r="O16" i="13"/>
  <c r="J15" i="13"/>
  <c r="K15" i="13"/>
  <c r="L15" i="13"/>
  <c r="M15" i="13"/>
  <c r="N15" i="13"/>
  <c r="O15" i="13"/>
  <c r="J14" i="13"/>
  <c r="K14" i="13"/>
  <c r="L14" i="13"/>
  <c r="M14" i="13"/>
  <c r="N14" i="13"/>
  <c r="O14" i="13"/>
  <c r="J13" i="13"/>
  <c r="K13" i="13"/>
  <c r="L13" i="13"/>
  <c r="M13" i="13"/>
  <c r="N13" i="13"/>
  <c r="O13" i="13"/>
  <c r="J12" i="13"/>
  <c r="K12" i="13"/>
  <c r="L12" i="13"/>
  <c r="M12" i="13"/>
  <c r="N12" i="13"/>
  <c r="O12" i="13"/>
  <c r="J11" i="13"/>
  <c r="K11" i="13"/>
  <c r="L11" i="13"/>
  <c r="M11" i="13"/>
  <c r="N11" i="13"/>
  <c r="O11" i="13"/>
  <c r="J10" i="13"/>
  <c r="K10" i="13"/>
  <c r="L10" i="13"/>
  <c r="M10" i="13"/>
  <c r="N10" i="13"/>
  <c r="O10" i="13"/>
  <c r="A41" i="13"/>
  <c r="B41" i="13"/>
  <c r="C41" i="13"/>
  <c r="D41" i="13"/>
  <c r="E41" i="13"/>
  <c r="F41" i="13"/>
  <c r="G41" i="13"/>
  <c r="H41" i="13"/>
  <c r="A40" i="13"/>
  <c r="B40" i="13"/>
  <c r="C40" i="13"/>
  <c r="D40" i="13"/>
  <c r="E40" i="13"/>
  <c r="F40" i="13"/>
  <c r="G40" i="13"/>
  <c r="H40" i="13"/>
  <c r="A39" i="13"/>
  <c r="B39" i="13"/>
  <c r="C39" i="13"/>
  <c r="D39" i="13"/>
  <c r="E39" i="13"/>
  <c r="F39" i="13"/>
  <c r="G39" i="13"/>
  <c r="H39" i="13"/>
  <c r="A38" i="13"/>
  <c r="B38" i="13"/>
  <c r="C38" i="13"/>
  <c r="D38" i="13"/>
  <c r="E38" i="13"/>
  <c r="F38" i="13"/>
  <c r="G38" i="13"/>
  <c r="H38" i="13"/>
  <c r="A37" i="13"/>
  <c r="B37" i="13"/>
  <c r="C37" i="13"/>
  <c r="D37" i="13"/>
  <c r="E37" i="13"/>
  <c r="F37" i="13"/>
  <c r="G37" i="13"/>
  <c r="H37" i="13"/>
  <c r="A36" i="13"/>
  <c r="B36" i="13"/>
  <c r="C36" i="13"/>
  <c r="D36" i="13"/>
  <c r="E36" i="13"/>
  <c r="F36" i="13"/>
  <c r="G36" i="13"/>
  <c r="H36" i="13"/>
  <c r="A35" i="13"/>
  <c r="B35" i="13"/>
  <c r="C35" i="13"/>
  <c r="D35" i="13"/>
  <c r="E35" i="13"/>
  <c r="F35" i="13"/>
  <c r="G35" i="13"/>
  <c r="H35" i="13"/>
  <c r="A34" i="13"/>
  <c r="B34" i="13"/>
  <c r="C34" i="13"/>
  <c r="D34" i="13"/>
  <c r="E34" i="13"/>
  <c r="F34" i="13"/>
  <c r="G34" i="13"/>
  <c r="H34" i="13"/>
  <c r="A33" i="13"/>
  <c r="B33" i="13"/>
  <c r="C33" i="13"/>
  <c r="D33" i="13"/>
  <c r="E33" i="13"/>
  <c r="F33" i="13"/>
  <c r="G33" i="13"/>
  <c r="H33" i="13"/>
  <c r="A32" i="13"/>
  <c r="B32" i="13"/>
  <c r="C32" i="13"/>
  <c r="D32" i="13"/>
  <c r="E32" i="13"/>
  <c r="F32" i="13"/>
  <c r="G32" i="13"/>
  <c r="H32" i="13"/>
  <c r="A31" i="13"/>
  <c r="B31" i="13"/>
  <c r="C31" i="13"/>
  <c r="D31" i="13"/>
  <c r="E31" i="13"/>
  <c r="F31" i="13"/>
  <c r="G31" i="13"/>
  <c r="H31" i="13"/>
  <c r="A30" i="13"/>
  <c r="B30" i="13"/>
  <c r="C30" i="13"/>
  <c r="D30" i="13"/>
  <c r="E30" i="13"/>
  <c r="F30" i="13"/>
  <c r="G30" i="13"/>
  <c r="H30" i="13"/>
  <c r="A29" i="13"/>
  <c r="B29" i="13"/>
  <c r="C29" i="13"/>
  <c r="D29" i="13"/>
  <c r="E29" i="13"/>
  <c r="F29" i="13"/>
  <c r="G29" i="13"/>
  <c r="H29" i="13"/>
  <c r="A28" i="13"/>
  <c r="B28" i="13"/>
  <c r="C28" i="13"/>
  <c r="D28" i="13"/>
  <c r="E28" i="13"/>
  <c r="F28" i="13"/>
  <c r="G28" i="13"/>
  <c r="H28" i="13"/>
  <c r="A27" i="13"/>
  <c r="B27" i="13"/>
  <c r="C27" i="13"/>
  <c r="D27" i="13"/>
  <c r="E27" i="13"/>
  <c r="F27" i="13"/>
  <c r="G27" i="13"/>
  <c r="H27" i="13"/>
  <c r="A26" i="13"/>
  <c r="B26" i="13"/>
  <c r="C26" i="13"/>
  <c r="D26" i="13"/>
  <c r="E26" i="13"/>
  <c r="F26" i="13"/>
  <c r="G26" i="13"/>
  <c r="H26" i="13"/>
  <c r="A25" i="13"/>
  <c r="B25" i="13"/>
  <c r="C25" i="13"/>
  <c r="D25" i="13"/>
  <c r="E25" i="13"/>
  <c r="F25" i="13"/>
  <c r="G25" i="13"/>
  <c r="H25" i="13"/>
  <c r="A24" i="13"/>
  <c r="B24" i="13"/>
  <c r="C24" i="13"/>
  <c r="D24" i="13"/>
  <c r="E24" i="13"/>
  <c r="F24" i="13"/>
  <c r="G24" i="13"/>
  <c r="H24" i="13"/>
  <c r="A23" i="13"/>
  <c r="B23" i="13"/>
  <c r="C23" i="13"/>
  <c r="D23" i="13"/>
  <c r="E23" i="13"/>
  <c r="F23" i="13"/>
  <c r="G23" i="13"/>
  <c r="H23" i="13"/>
  <c r="A22" i="13"/>
  <c r="B22" i="13"/>
  <c r="C22" i="13"/>
  <c r="D22" i="13"/>
  <c r="E22" i="13"/>
  <c r="F22" i="13"/>
  <c r="G22" i="13"/>
  <c r="H22" i="13"/>
  <c r="A21" i="13"/>
  <c r="B21" i="13"/>
  <c r="C21" i="13"/>
  <c r="D21" i="13"/>
  <c r="E21" i="13"/>
  <c r="F21" i="13"/>
  <c r="G21" i="13"/>
  <c r="H21" i="13"/>
  <c r="A20" i="13"/>
  <c r="B20" i="13"/>
  <c r="C20" i="13"/>
  <c r="D20" i="13"/>
  <c r="E20" i="13"/>
  <c r="F20" i="13"/>
  <c r="G20" i="13"/>
  <c r="H20" i="13"/>
  <c r="A19" i="13"/>
  <c r="B19" i="13"/>
  <c r="C19" i="13"/>
  <c r="D19" i="13"/>
  <c r="E19" i="13"/>
  <c r="F19" i="13"/>
  <c r="G19" i="13"/>
  <c r="H19" i="13"/>
  <c r="A18" i="13"/>
  <c r="B18" i="13"/>
  <c r="C18" i="13"/>
  <c r="D18" i="13"/>
  <c r="E18" i="13"/>
  <c r="F18" i="13"/>
  <c r="G18" i="13"/>
  <c r="H18" i="13"/>
  <c r="A14" i="13"/>
  <c r="B14" i="13"/>
  <c r="C14" i="13"/>
  <c r="D14" i="13"/>
  <c r="E14" i="13"/>
  <c r="F14" i="13"/>
  <c r="G14" i="13"/>
  <c r="H14" i="13"/>
  <c r="A13" i="13"/>
  <c r="B13" i="13"/>
  <c r="C13" i="13"/>
  <c r="D13" i="13"/>
  <c r="E13" i="13"/>
  <c r="F13" i="13"/>
  <c r="G13" i="13"/>
  <c r="H13" i="13"/>
  <c r="A12" i="13"/>
  <c r="B12" i="13"/>
  <c r="C12" i="13"/>
  <c r="D12" i="13"/>
  <c r="E12" i="13"/>
  <c r="F12" i="13"/>
  <c r="G12" i="13"/>
  <c r="H12" i="13"/>
  <c r="A11" i="13"/>
  <c r="B11" i="13"/>
  <c r="C11" i="13"/>
  <c r="D11" i="13"/>
  <c r="E11" i="13"/>
  <c r="F11" i="13"/>
  <c r="G11" i="13"/>
  <c r="H11" i="13"/>
  <c r="A10" i="13"/>
  <c r="B10" i="13"/>
  <c r="C10" i="13"/>
  <c r="D10" i="13"/>
  <c r="E10" i="13"/>
  <c r="F10" i="13"/>
  <c r="G10" i="13"/>
  <c r="H10" i="13"/>
  <c r="K5" i="13"/>
  <c r="I5" i="13"/>
  <c r="E5" i="13"/>
  <c r="C5" i="13"/>
  <c r="A5" i="13"/>
</calcChain>
</file>

<file path=xl/sharedStrings.xml><?xml version="1.0" encoding="utf-8"?>
<sst xmlns="http://schemas.openxmlformats.org/spreadsheetml/2006/main" count="1127" uniqueCount="969">
  <si>
    <t>PLAN DE NEGOCIOS — AGENCIA DE INTELIGENCIA ARTIFICIAL</t>
  </si>
  <si>
    <t>1. RESUMEN EJECUTIVO</t>
  </si>
  <si>
    <t>CONCEPTO</t>
  </si>
  <si>
    <t>DETALLE</t>
  </si>
  <si>
    <t>Tipo de empresa</t>
  </si>
  <si>
    <t>Agencia de Inteligencia Artificial (Servicios + Productos)</t>
  </si>
  <si>
    <t>Ubicación inicial</t>
  </si>
  <si>
    <t>México (operación 100% remota)</t>
  </si>
  <si>
    <t>Fundadores</t>
  </si>
  <si>
    <t>2 personas — equipo técnico-comercial</t>
  </si>
  <si>
    <t>Fecha de inicio estimada</t>
  </si>
  <si>
    <t>2025 (Fase de Validación)</t>
  </si>
  <si>
    <t>Inversión inicial requerida</t>
  </si>
  <si>
    <t>$0 USD (Bootstrapped)</t>
  </si>
  <si>
    <t>Modelo de ingresos</t>
  </si>
  <si>
    <t>Proyectos one-time + Suscripciones mensuales recurrentes</t>
  </si>
  <si>
    <t>Ticket promedio cliente</t>
  </si>
  <si>
    <t>Meta de ingresos (12 meses)</t>
  </si>
  <si>
    <t>Clientes objetivo</t>
  </si>
  <si>
    <t>PYMES en sectores salud e inmobiliario (México)</t>
  </si>
  <si>
    <t>Servicios clave</t>
  </si>
  <si>
    <t>Chatbots, Automatización IA, Agentes Autónomos, Análisis de Datos</t>
  </si>
  <si>
    <t>VISIÓN A 5 AÑOS</t>
  </si>
  <si>
    <t>Año 1</t>
  </si>
  <si>
    <t>Año 2</t>
  </si>
  <si>
    <t>Año 3</t>
  </si>
  <si>
    <t>Año 4</t>
  </si>
  <si>
    <t>Año 5</t>
  </si>
  <si>
    <t>PROPUESTA DE VALOR</t>
  </si>
  <si>
    <t>Ayudamos a PYMES en México a implementar IA de forma práctica,</t>
  </si>
  <si>
    <t>rápida y accesible — sin necesidad de equipo técnico interno.</t>
  </si>
  <si>
    <t>DIFERENCIADORES CLAVE</t>
  </si>
  <si>
    <t>Especialización en salud e inmobiliario (alto valor)</t>
  </si>
  <si>
    <t>Implementación rápida: resultados en 2-4 semanas</t>
  </si>
  <si>
    <t>Precio accesible vs. grandes consultoras</t>
  </si>
  <si>
    <t>Modelo híbrido: servicio + suscripción recurrente</t>
  </si>
  <si>
    <t>Fundadores con conocimiento profundo de IA aplicada</t>
  </si>
  <si>
    <t>2. ANÁLISIS DE MERCADO</t>
  </si>
  <si>
    <t>TAMAÑO DE MERCADO — IA EN MÉXICO</t>
  </si>
  <si>
    <t>Indicador</t>
  </si>
  <si>
    <t>Valor / Dato</t>
  </si>
  <si>
    <t>Fuente Ref.</t>
  </si>
  <si>
    <t>Mercado IA en México (2024)</t>
  </si>
  <si>
    <t>~$1,200 millones USD</t>
  </si>
  <si>
    <t>IDC / Statista</t>
  </si>
  <si>
    <t>Crecimiento anual proyectado (CAGR)</t>
  </si>
  <si>
    <t>28-35% anual hasta 2030</t>
  </si>
  <si>
    <t>McKinsey LatAm</t>
  </si>
  <si>
    <t>Mercado IA en México (2028 estimado)</t>
  </si>
  <si>
    <t>&gt;$4,000 millones USD</t>
  </si>
  <si>
    <t>Proyección propia</t>
  </si>
  <si>
    <t>PYMES en México</t>
  </si>
  <si>
    <t>&gt;4.1 millones de empresas</t>
  </si>
  <si>
    <t>INEGI 2023</t>
  </si>
  <si>
    <t>% PYMES con baja adopción digital</t>
  </si>
  <si>
    <t>~72%</t>
  </si>
  <si>
    <t>INEGI / CIDE</t>
  </si>
  <si>
    <t>Penetración actual de IA en PYMES MX</t>
  </si>
  <si>
    <t>&lt;5%</t>
  </si>
  <si>
    <t>Estimado sector</t>
  </si>
  <si>
    <t>Gasto promedio PYME en tecnología/año</t>
  </si>
  <si>
    <t>$5,000 - $30,000 USD</t>
  </si>
  <si>
    <t>Referencia mercado</t>
  </si>
  <si>
    <t>OPORTUNIDAD EN PYMES</t>
  </si>
  <si>
    <t>Factor</t>
  </si>
  <si>
    <t>Descripción</t>
  </si>
  <si>
    <t>Mercado desatendido</t>
  </si>
  <si>
    <t>Las grandes consultoras ignoran a PYMES por ticket bajo</t>
  </si>
  <si>
    <t>Urgencia digital</t>
  </si>
  <si>
    <t>Post-COVID aceleró presión para digitalizar procesos</t>
  </si>
  <si>
    <t>Presupuesto accesible</t>
  </si>
  <si>
    <t>PYMES pueden invertir $1K-$5K USD/mes si ven ROI claro</t>
  </si>
  <si>
    <t>Decisión rápida</t>
  </si>
  <si>
    <t>Dueños de PYMES deciden solos — ciclo de venta más corto</t>
  </si>
  <si>
    <t>Crecimiento de competidores</t>
  </si>
  <si>
    <t>IA democratiza servicios antes exclusivos de grandes empresas</t>
  </si>
  <si>
    <t>TENDENCIAS IA — SECTOR SALUD (MÉXICO)</t>
  </si>
  <si>
    <t>Tendencia</t>
  </si>
  <si>
    <t>Aplicación / Oportunidad</t>
  </si>
  <si>
    <t>Chatbots médicos</t>
  </si>
  <si>
    <t>Triaje inicial, recordatorios de citas, atención 24/7</t>
  </si>
  <si>
    <t>Automatización administrativa</t>
  </si>
  <si>
    <t>Facturación, expedientes, agendamiento inteligente</t>
  </si>
  <si>
    <t>Análisis de datos clínicos</t>
  </si>
  <si>
    <t>Detección de patrones, reportes de desempeño</t>
  </si>
  <si>
    <t>Agentes autónomos</t>
  </si>
  <si>
    <t>Seguimiento de pacientes, alertas, gestión de inventario médico</t>
  </si>
  <si>
    <t>Valor percibido</t>
  </si>
  <si>
    <t>TENDENCIAS IA — SECTOR INMOBILIARIO (MÉXICO)</t>
  </si>
  <si>
    <t>Chatbots de ventas</t>
  </si>
  <si>
    <t>Calificación de leads, atención 24/7, tours virtuales</t>
  </si>
  <si>
    <t>CRM con IA</t>
  </si>
  <si>
    <t>Seguimiento automático, scoring de prospectos</t>
  </si>
  <si>
    <t>Análisis de mercado</t>
  </si>
  <si>
    <t>Valuaciones automáticas, comparativos de zona</t>
  </si>
  <si>
    <t>Automatización de marketing</t>
  </si>
  <si>
    <t>Alto — cada lead perdido = miles de dólares en comisiones</t>
  </si>
  <si>
    <t>ANÁLISIS COMPETITIVO</t>
  </si>
  <si>
    <t>Competidor tipo</t>
  </si>
  <si>
    <t>Fortaleza</t>
  </si>
  <si>
    <t>Debilidad</t>
  </si>
  <si>
    <t>Nuestra oportunidad</t>
  </si>
  <si>
    <t>Grandes consultoras (Accenture, etc.)</t>
  </si>
  <si>
    <t>Marca, recursos</t>
  </si>
  <si>
    <t>Precio alto, no atienden PYMES</t>
  </si>
  <si>
    <t>Nicho desatendido</t>
  </si>
  <si>
    <t>Freelancers de IA</t>
  </si>
  <si>
    <t>Precio bajo</t>
  </si>
  <si>
    <t>Sin soporte, sin escalabilidad</t>
  </si>
  <si>
    <t>Servicio + continuidad</t>
  </si>
  <si>
    <t>Agencias digitales genéricas</t>
  </si>
  <si>
    <t>Red de contactos</t>
  </si>
  <si>
    <t>No especializadas en IA</t>
  </si>
  <si>
    <t>Especialización real</t>
  </si>
  <si>
    <t>Startups IA internacionales</t>
  </si>
  <si>
    <t>Tecnología avanzada</t>
  </si>
  <si>
    <t>Sin presencia local, idioma</t>
  </si>
  <si>
    <t>Proximidad + idioma</t>
  </si>
  <si>
    <t>3. PROPUESTA DE VALOR Y DIFERENCIACIÓN</t>
  </si>
  <si>
    <t>PROPUESTA DE VALOR CENTRAL</t>
  </si>
  <si>
    <t>Para:</t>
  </si>
  <si>
    <t>PYMES en México (salud e inmobiliario)</t>
  </si>
  <si>
    <t>Que necesitan:</t>
  </si>
  <si>
    <t>Implementar IA sin equipo técnico interno y con presupuesto limitado</t>
  </si>
  <si>
    <t>Ofrecemos:</t>
  </si>
  <si>
    <t>Soluciones de IA llave en mano: chatbots, automatización y agentes autónomos</t>
  </si>
  <si>
    <t>A diferencia de:</t>
  </si>
  <si>
    <t>Grandes consultoras (precio prohibitivo) o freelancers (sin soporte)</t>
  </si>
  <si>
    <t>Nuestra diferencia:</t>
  </si>
  <si>
    <t>Especialización en PYMES + resultados medibles en 30 días + soporte continuo</t>
  </si>
  <si>
    <t>VENTAJA COMPETITIVA RECOMENDADA</t>
  </si>
  <si>
    <t>Pilar</t>
  </si>
  <si>
    <t>Por qué funciona</t>
  </si>
  <si>
    <t>1. Nicho profundo</t>
  </si>
  <si>
    <t>Especializarse en salud + inmobiliario (no generalistas)</t>
  </si>
  <si>
    <t>Menos competencia, ticket más alto, referencias sectoriales</t>
  </si>
  <si>
    <t>2. Velocidad de entrega</t>
  </si>
  <si>
    <t>Garantizar primeros resultados en 2-4 semanas</t>
  </si>
  <si>
    <t>PYMES no tienen paciencia para proyectos de 6 meses</t>
  </si>
  <si>
    <t>3. ROI demostrable</t>
  </si>
  <si>
    <t>Cuantificar el impacto: leads, tiempo ahorrado, costo reducido</t>
  </si>
  <si>
    <t>El dueño de PYME compra resultados, no tecnología</t>
  </si>
  <si>
    <t>4. Modelo suscripción</t>
  </si>
  <si>
    <t>Convertir clientes en socios con retainer mensual desde $500 USD</t>
  </si>
  <si>
    <t>Ingresos predecibles + relación de largo plazo</t>
  </si>
  <si>
    <t>5. Cercanía local</t>
  </si>
  <si>
    <t>Español, husos horarios MX, conocimiento del mercado local</t>
  </si>
  <si>
    <t>Ventaja vs. agencias extranjeras</t>
  </si>
  <si>
    <t>6. Stack IA de vanguardia</t>
  </si>
  <si>
    <t>Usar GPT-4, Claude, Make/Zapier, agentes autónomos reales</t>
  </si>
  <si>
    <t>Credibilidad tecnológica diferenciadora</t>
  </si>
  <si>
    <t>POSICIONAMIENTO ESTRATÉGICO</t>
  </si>
  <si>
    <t>Posición actual (Año 1)</t>
  </si>
  <si>
    <t>Agencia generalista con foco inicial en salud e inmobiliario</t>
  </si>
  <si>
    <t>Posición Año 2-3</t>
  </si>
  <si>
    <t>Consultora especializada en IA para PYMES salud + inmobiliario</t>
  </si>
  <si>
    <t>Posición Año 4-5</t>
  </si>
  <si>
    <t>Empresa de IA con servicios + productos SaaS propios para el sector</t>
  </si>
  <si>
    <t>MENSAJE DE MARKETING CLAVE</t>
  </si>
  <si>
    <t>Tagline sugerido:</t>
  </si>
  <si>
    <t>IA que trabaja para tu negocio — sin complicaciones, con resultados.</t>
  </si>
  <si>
    <t>Pain point central:</t>
  </si>
  <si>
    <t>Los dueños de PYME pierden tiempo y dinero en tareas que la IA puede hacer mejor</t>
  </si>
  <si>
    <t>Promesa de venta:</t>
  </si>
  <si>
    <t>En 30 días implementamos tu primer agente de IA. Si no ves resultados, no cobras.</t>
  </si>
  <si>
    <t>BUYER PERSONAS</t>
  </si>
  <si>
    <t>Persona</t>
  </si>
  <si>
    <t>Perfil</t>
  </si>
  <si>
    <t>Pain point principal</t>
  </si>
  <si>
    <t>Solución que compramos</t>
  </si>
  <si>
    <t>Director clínica / hospital pequeño</t>
  </si>
  <si>
    <t>45-60 años, dueño, no técnico</t>
  </si>
  <si>
    <t>Personal saturado, pacientes sin atención rápida</t>
  </si>
  <si>
    <t>Chatbot médico + automatización citas</t>
  </si>
  <si>
    <t>Agencia inmobiliaria mediana</t>
  </si>
  <si>
    <t>35-50 años, enfocado en ventas</t>
  </si>
  <si>
    <t>Leads que no se atienden a tiempo, agentes ocupados</t>
  </si>
  <si>
    <t>Chatbot de calificación + CRM automatizado</t>
  </si>
  <si>
    <t>Consultorio dental o médico</t>
  </si>
  <si>
    <t>30-45 años, dueño-operador</t>
  </si>
  <si>
    <t>Cancelaciones, recordatorios manuales, sin seguimiento</t>
  </si>
  <si>
    <t>Bot de WhatsApp + automatización recordatorios</t>
  </si>
  <si>
    <t>Desarrolladora inmobiliaria</t>
  </si>
  <si>
    <t>40-55 años, gerente comercial</t>
  </si>
  <si>
    <t>Proceso de ventas lento, muchos prospectos sin seguir</t>
  </si>
  <si>
    <t>Agente autónomo de seguimiento + análisis</t>
  </si>
  <si>
    <t>4. PORTAFOLIO DE SERVICIOS</t>
  </si>
  <si>
    <t>SERVICIOS INICIALES (AÑO 1)</t>
  </si>
  <si>
    <t>Servicio</t>
  </si>
  <si>
    <t>Entregable</t>
  </si>
  <si>
    <t>Precio (USD)</t>
  </si>
  <si>
    <t>Recurrencia</t>
  </si>
  <si>
    <t>Chatbot Inteligente (WhatsApp/Web)</t>
  </si>
  <si>
    <t>Bot con IA para atención, ventas o soporte 24/7</t>
  </si>
  <si>
    <t>Bot funcional + flujos configurados</t>
  </si>
  <si>
    <t>Automatización de Procesos con IA</t>
  </si>
  <si>
    <t>Automatizar flujos: citas, facturación, seguimiento, reportes</t>
  </si>
  <si>
    <t>Flujos en Make/Zapier + documentación</t>
  </si>
  <si>
    <t>Agente Autónomo de Ventas/Soporte</t>
  </si>
  <si>
    <t>Agente que califica leads, hace seguimiento, responde y escala</t>
  </si>
  <si>
    <t>Agente configurado en plataforma IA</t>
  </si>
  <si>
    <t>Análisis de Datos con IA</t>
  </si>
  <si>
    <t>Dashboard + insights automáticos de datos del negocio</t>
  </si>
  <si>
    <t>Reporte + tablero interactivo</t>
  </si>
  <si>
    <t>Consultoría en Adopción de IA</t>
  </si>
  <si>
    <t>Diagnóstico + hoja de ruta de IA para el negocio</t>
  </si>
  <si>
    <t>Reporte estratégico + sesión ejecutiva</t>
  </si>
  <si>
    <t>One-time (puede evolucionar)</t>
  </si>
  <si>
    <t>Pack Starter IA</t>
  </si>
  <si>
    <t>Chatbot + 1 automatización + 1 mes soporte</t>
  </si>
  <si>
    <t>Paquete completo llave en mano</t>
  </si>
  <si>
    <t>SERVICIOS ESPECIALIZADOS (AÑO 2-3)</t>
  </si>
  <si>
    <t>Sector</t>
  </si>
  <si>
    <t>Precio Est. (USD)</t>
  </si>
  <si>
    <t>Sistema de IA para Clínicas</t>
  </si>
  <si>
    <t>Salud</t>
  </si>
  <si>
    <t>Chatbot + agenda + expediente + recordatorios integrados</t>
  </si>
  <si>
    <t>Pipeline de Ventas IA Inmobiliario</t>
  </si>
  <si>
    <t>Inmobiliario</t>
  </si>
  <si>
    <t>CRM automatizado + agente de calificación + seguimiento</t>
  </si>
  <si>
    <t>Asistente IA para Agentes de Ventas</t>
  </si>
  <si>
    <t>Copiloto IA para respuestas, propuestas y análisis de clientes</t>
  </si>
  <si>
    <t>Análisis Predictivo Médico</t>
  </si>
  <si>
    <t>Modelos de predicción de demanda, ausentismo, inventario</t>
  </si>
  <si>
    <t>Capacitación Corporativa en IA</t>
  </si>
  <si>
    <t>Transversal</t>
  </si>
  <si>
    <t>Talleres prácticos de uso de IA para equipos de trabajo</t>
  </si>
  <si>
    <t>Por sesión</t>
  </si>
  <si>
    <t>PRODUCTOS ESCALABLES (AÑO 3-5)</t>
  </si>
  <si>
    <t>Producto</t>
  </si>
  <si>
    <t>SaaS Chatbot para Clínicas</t>
  </si>
  <si>
    <t>Plataforma whitelabel de chatbot para salud (turnos, FAQs, triaje)</t>
  </si>
  <si>
    <t>Suscripción mensual</t>
  </si>
  <si>
    <t>SaaS Agente Inmobiliario IA</t>
  </si>
  <si>
    <t>Agente autónomo para agencias: califica, agenda y da seguimiento</t>
  </si>
  <si>
    <t>Plantillas IA Verticalizadas</t>
  </si>
  <si>
    <t>Flujos preconfigurados para salud e inmobiliario (Make/Zapier)</t>
  </si>
  <si>
    <t>Venta única</t>
  </si>
  <si>
    <t>Curso IA para PYMES MX</t>
  </si>
  <si>
    <t>Curso online práctico de implementación de IA en negocios</t>
  </si>
  <si>
    <t>Venta única + membresía</t>
  </si>
  <si>
    <t>API / Microservicio IA propio</t>
  </si>
  <si>
    <t>Módulo IA especializado (análisis docs, scoring, resúmenes)</t>
  </si>
  <si>
    <t>API usage / suscripción</t>
  </si>
  <si>
    <t>Por uso / $99+/mes</t>
  </si>
  <si>
    <t>MODELO DE PRECIOS SUGERIDO (RESUMEN)</t>
  </si>
  <si>
    <t>Tier</t>
  </si>
  <si>
    <t>Nombre</t>
  </si>
  <si>
    <t>Qué incluye</t>
  </si>
  <si>
    <t>Público objetivo</t>
  </si>
  <si>
    <t>Básico</t>
  </si>
  <si>
    <t>Starter AI</t>
  </si>
  <si>
    <t>1 chatbot + soporte básico</t>
  </si>
  <si>
    <t>PYME pequeña (&lt;10 empleados)</t>
  </si>
  <si>
    <t>Medio</t>
  </si>
  <si>
    <t>Pro AI</t>
  </si>
  <si>
    <t>Chatbot + 2 automatizaciones + dashboard</t>
  </si>
  <si>
    <t>PYME mediana (10-50 empleados)</t>
  </si>
  <si>
    <t>Premium</t>
  </si>
  <si>
    <t>Enterprise AI</t>
  </si>
  <si>
    <t>Suite completa + agente autónomo + análisis</t>
  </si>
  <si>
    <t>Empresa mediana (50+ empleados)</t>
  </si>
  <si>
    <t>Proyecto</t>
  </si>
  <si>
    <t>One-time</t>
  </si>
  <si>
    <t>Implementación personalizada sin retainer</t>
  </si>
  <si>
    <t>$2,000 - $8,000</t>
  </si>
  <si>
    <t>Clientes que prefieren pago único</t>
  </si>
  <si>
    <t>5. MODELO DE INGRESOS</t>
  </si>
  <si>
    <t>ESTRUCTURA DE INGRESOS</t>
  </si>
  <si>
    <t>Tipo de ingreso</t>
  </si>
  <si>
    <t>Cuándo aplica</t>
  </si>
  <si>
    <t>Ticket promedio</t>
  </si>
  <si>
    <t>Frecuencia</t>
  </si>
  <si>
    <t>Proyecto one-time</t>
  </si>
  <si>
    <t>Implementación inicial, setup, configuración</t>
  </si>
  <si>
    <t>Cierre de contrato</t>
  </si>
  <si>
    <t>Una vez</t>
  </si>
  <si>
    <t>Retainer mensual</t>
  </si>
  <si>
    <t>Soporte, mantenimiento, mejoras continuas</t>
  </si>
  <si>
    <t>Mes 2 en adelante</t>
  </si>
  <si>
    <t>Mensual recurrente</t>
  </si>
  <si>
    <t>Suscripción SaaS (futuro)</t>
  </si>
  <si>
    <t>Licencia de producto propio</t>
  </si>
  <si>
    <t>Año 3+</t>
  </si>
  <si>
    <t>Capacitación / Talleres</t>
  </si>
  <si>
    <t>Cursos, workshops para equipos</t>
  </si>
  <si>
    <t>Ocasional</t>
  </si>
  <si>
    <t>Esporádico</t>
  </si>
  <si>
    <t>Consultoría estratégica</t>
  </si>
  <si>
    <t>Sesiones de estrategia IA a nivel directivo</t>
  </si>
  <si>
    <t>Proyectos maduros</t>
  </si>
  <si>
    <t>Por proyecto</t>
  </si>
  <si>
    <t>ESCENARIOS DE INGRESOS MENSUALES (AÑO 1)</t>
  </si>
  <si>
    <t>Escenario</t>
  </si>
  <si>
    <t>Clientes activos</t>
  </si>
  <si>
    <t>Ingreso proyectos</t>
  </si>
  <si>
    <t>Ingreso recurrente</t>
  </si>
  <si>
    <t>Total mensual</t>
  </si>
  <si>
    <t>Meta alcanzada</t>
  </si>
  <si>
    <t>Pesimista</t>
  </si>
  <si>
    <t>No</t>
  </si>
  <si>
    <t>Base (realista)</t>
  </si>
  <si>
    <t>Parcial</t>
  </si>
  <si>
    <t>Optimista</t>
  </si>
  <si>
    <t>Sí ✓</t>
  </si>
  <si>
    <t>ESCENARIOS DE INGRESOS MENSUALES (AÑO 2)</t>
  </si>
  <si>
    <t>ESTRATEGIA DE SUSCRIPCIÓN MENSUAL</t>
  </si>
  <si>
    <t>Elemento</t>
  </si>
  <si>
    <t>Detalle</t>
  </si>
  <si>
    <t>Primer mes gratis o descuento</t>
  </si>
  <si>
    <t>Para los primeros 5 clientes — genera confianza y testimoniales</t>
  </si>
  <si>
    <t>Contrato mínimo 3 meses</t>
  </si>
  <si>
    <t>Asegura estabilidad de flujo y tiempo de resultados</t>
  </si>
  <si>
    <t>Escalabilidad del plan</t>
  </si>
  <si>
    <t>El cliente sube de plan conforme crece — ingresos aumentan sin nuevo cliente</t>
  </si>
  <si>
    <t>Penalización por cancelación</t>
  </si>
  <si>
    <t>Incentivo anual</t>
  </si>
  <si>
    <t>Pago anual con 2 meses de descuento — mejora flujo de caja</t>
  </si>
  <si>
    <t>MÉTRICAS CLAVE A MONITOREAR</t>
  </si>
  <si>
    <t>Métrica</t>
  </si>
  <si>
    <t>Fórmula / Descripción</t>
  </si>
  <si>
    <t>Meta Año 1</t>
  </si>
  <si>
    <t>MRR (Ingresos Recurrentes Mensuales)</t>
  </si>
  <si>
    <t>Suma de retainers activos</t>
  </si>
  <si>
    <t>ARR (Ingresos Anuales Recurrentes)</t>
  </si>
  <si>
    <t>MRR × 12</t>
  </si>
  <si>
    <t>CAC (Costo Adquisición Cliente)</t>
  </si>
  <si>
    <t>Gasto marketing / clientes nuevos</t>
  </si>
  <si>
    <t>LTV (Valor de vida del cliente)</t>
  </si>
  <si>
    <t>Ticket promedio × meses promedio relación</t>
  </si>
  <si>
    <t>Ratio LTV/CAC</t>
  </si>
  <si>
    <t>LTV / CAC</t>
  </si>
  <si>
    <t>&gt;15x</t>
  </si>
  <si>
    <t>Churn mensual</t>
  </si>
  <si>
    <t>% clientes que cancelan por mes</t>
  </si>
  <si>
    <t>Ticket promedio por cliente</t>
  </si>
  <si>
    <t>Ingreso total / número de clientes</t>
  </si>
  <si>
    <t>6. ESTRATEGIA DE ADQUISICIÓN DE CLIENTES</t>
  </si>
  <si>
    <t>CANALES DE ADQUISICIÓN (BOOTSTRAPPED — $0)</t>
  </si>
  <si>
    <t>Canal</t>
  </si>
  <si>
    <t>Táctica específica</t>
  </si>
  <si>
    <t>Costo</t>
  </si>
  <si>
    <t>Tiempo a resultados</t>
  </si>
  <si>
    <t>Prioridad</t>
  </si>
  <si>
    <t>LinkedIn Outbound</t>
  </si>
  <si>
    <t>Mensajes directos a dueños de clínicas y agencias inmobiliarias</t>
  </si>
  <si>
    <t>2-4 semanas</t>
  </si>
  <si>
    <t>🔴 Alta</t>
  </si>
  <si>
    <t>Contenido educativo (LinkedIn/IG)</t>
  </si>
  <si>
    <t>Posts sobre casos de uso IA para PYMES — atraer leads inbound</t>
  </si>
  <si>
    <t>2-3 meses</t>
  </si>
  <si>
    <t>Referidos y boca a boca</t>
  </si>
  <si>
    <t>Pedir referidos activamente a cada cliente; ofrecer descuento por referir</t>
  </si>
  <si>
    <t>Inmediato si hay clientes</t>
  </si>
  <si>
    <t>Grupos de WhatsApp / Facebook PYMES</t>
  </si>
  <si>
    <t>Participar en grupos sectoriales, compartir valor, no vender directo</t>
  </si>
  <si>
    <t>4-6 semanas</t>
  </si>
  <si>
    <t>🟡 Media</t>
  </si>
  <si>
    <t>Alianzas con contadores / consultores</t>
  </si>
  <si>
    <t>Alianza con asesores que ya tienen PYMES como clientes</t>
  </si>
  <si>
    <t>4-8 semanas</t>
  </si>
  <si>
    <t>Cold email personalizado</t>
  </si>
  <si>
    <t>Emails ultra-personalizados a clínicas y agencias (50/semana)</t>
  </si>
  <si>
    <t>3-6 semanas</t>
  </si>
  <si>
    <t>YouTube / Podcast</t>
  </si>
  <si>
    <t>Google Ads (futuro)</t>
  </si>
  <si>
    <t>Cuando haya presupuesto: keywords nicho muy específicos</t>
  </si>
  <si>
    <t>$300-500/mes</t>
  </si>
  <si>
    <t>🟢 Futuro</t>
  </si>
  <si>
    <t>FUNNEL DE VENTAS RECOMENDADO</t>
  </si>
  <si>
    <t>Etapa</t>
  </si>
  <si>
    <t>Acción</t>
  </si>
  <si>
    <t>Herramienta</t>
  </si>
  <si>
    <t>Meta de conversión</t>
  </si>
  <si>
    <t>1. Atención</t>
  </si>
  <si>
    <t>Post/video educativo sobre IA en su sector</t>
  </si>
  <si>
    <t>LinkedIn / IG / YouTube</t>
  </si>
  <si>
    <t>100-500 vistos/semana</t>
  </si>
  <si>
    <t>2. Interés</t>
  </si>
  <si>
    <t>Lead magnet: guía gratuita 'Cómo usar IA en tu negocio'</t>
  </si>
  <si>
    <t>Google Forms / Notion</t>
  </si>
  <si>
    <t>10% de alcance se registra</t>
  </si>
  <si>
    <t>3. Consideración</t>
  </si>
  <si>
    <t>Demo gratuita de 30 min + propuesta personalizada</t>
  </si>
  <si>
    <t>Zoom + Notion/Canva</t>
  </si>
  <si>
    <t>50% de demos = propuesta enviada</t>
  </si>
  <si>
    <t>4. Decisión</t>
  </si>
  <si>
    <t>Propuesta de valor + caso de estudio + garantía 30 días</t>
  </si>
  <si>
    <t>PDF / Loom video</t>
  </si>
  <si>
    <t>30-40% de propuestas = cierre</t>
  </si>
  <si>
    <t>5. Retención</t>
  </si>
  <si>
    <t>Check-in mensual + reporte de resultados + upsell</t>
  </si>
  <si>
    <t>Notion + WhatsApp + Loom</t>
  </si>
  <si>
    <t>Churn &lt;5% mensual</t>
  </si>
  <si>
    <t>6. Referido</t>
  </si>
  <si>
    <t>SECUENCIA DE OUTBOUND LINKEDIN (SEMANA 1-4)</t>
  </si>
  <si>
    <t>Semana</t>
  </si>
  <si>
    <t>Acción diaria</t>
  </si>
  <si>
    <t>Volumen</t>
  </si>
  <si>
    <t>Objetivo</t>
  </si>
  <si>
    <t>Semana 1</t>
  </si>
  <si>
    <t>Conectar con 20 dueños de clínicas o agencias en LinkedIn</t>
  </si>
  <si>
    <t>20 conexiones/día</t>
  </si>
  <si>
    <t>Construir red inicial de 500+</t>
  </si>
  <si>
    <t>Semana 2</t>
  </si>
  <si>
    <t>Enviar mensaje de valor (sin venta): compartir insight IA útil</t>
  </si>
  <si>
    <t>10 mensajes/día</t>
  </si>
  <si>
    <t>Establecer conversaciones</t>
  </si>
  <si>
    <t>Semana 3</t>
  </si>
  <si>
    <t>Invitar a demo gratuita: 'Te muestro cómo IA puede [resultado específico]'</t>
  </si>
  <si>
    <t>5 invitaciones/día</t>
  </si>
  <si>
    <t>3-5 demos agendadas</t>
  </si>
  <si>
    <t>Semana 4</t>
  </si>
  <si>
    <t>PROPUESTA DE VENTA RÁPIDA (ESTRATEGIA 'PIE EN LA PUERTA')</t>
  </si>
  <si>
    <t>Paso</t>
  </si>
  <si>
    <t>1. Audit gratuito (30 min)</t>
  </si>
  <si>
    <t>Diagnóstico rápido: '3 cosas que IA puede mejorar en tu negocio HOY'</t>
  </si>
  <si>
    <t>2. Quick win ($500-$800)</t>
  </si>
  <si>
    <t>3. Propuesta expandida</t>
  </si>
  <si>
    <t>Con el quick win funcionando, proponer el proyecto completo $2K-$5K</t>
  </si>
  <si>
    <t>4. Suscripción mensual</t>
  </si>
  <si>
    <t>Después del proyecto, ofrecer mantenimiento + mejoras por $300-$600/mes</t>
  </si>
  <si>
    <t>7. ROADMAP DE CRECIMIENTO — 0 A 5 AÑOS</t>
  </si>
  <si>
    <t>ETAPA 1: VALIDACIÓN (Meses 1-6)</t>
  </si>
  <si>
    <t>Área</t>
  </si>
  <si>
    <t>Acciones clave</t>
  </si>
  <si>
    <t>KPI / Meta</t>
  </si>
  <si>
    <t>Oferta</t>
  </si>
  <si>
    <t>Definir 2-3 servicios concretos (chatbot + automatización + consultoría)</t>
  </si>
  <si>
    <t>Mercado</t>
  </si>
  <si>
    <t>Elegir 1 nicho inicial (recomendado: inmobiliario por ciclo de venta más corto)</t>
  </si>
  <si>
    <t>Primeros clientes</t>
  </si>
  <si>
    <t>Cerrar 1-3 clientes piloto (con descuento o incluso gratuito para testimoniales)</t>
  </si>
  <si>
    <t>Producto mínimo</t>
  </si>
  <si>
    <t>Crear demo funcional de chatbot para mostrar en ventas</t>
  </si>
  <si>
    <t>Ingresos</t>
  </si>
  <si>
    <t>Llegar a $2,000 - $3,000 USD/mes de ingresos recurrentes</t>
  </si>
  <si>
    <t>Procesos</t>
  </si>
  <si>
    <t>Crear templates, flujos y SOP para entregar servicios con rapidez</t>
  </si>
  <si>
    <t>3-5 SOPs documentados</t>
  </si>
  <si>
    <t>Tecnología</t>
  </si>
  <si>
    <t>Setup stack: ChatGPT API + Make + Notion + CRM simple</t>
  </si>
  <si>
    <t>Stack operativo en semana 1</t>
  </si>
  <si>
    <t>ETAPA 2: TRACCIÓN (Meses 7-18)</t>
  </si>
  <si>
    <t>Clientes</t>
  </si>
  <si>
    <t>Escalar a 8-12 clientes activos. Foco en retainers mensuales</t>
  </si>
  <si>
    <t>$8K-$12K MRR</t>
  </si>
  <si>
    <t>Equipo</t>
  </si>
  <si>
    <t>Contratar 1er colaborador (dev IA freelance o PM part-time)</t>
  </si>
  <si>
    <t>Primer hire al mes 10-12</t>
  </si>
  <si>
    <t>Nicho</t>
  </si>
  <si>
    <t>Profundizar en salud + inmobiliario. Crear paquetes sectoriales</t>
  </si>
  <si>
    <t>2 paquetes verticales listos</t>
  </si>
  <si>
    <t>Marketing</t>
  </si>
  <si>
    <t>Crear contenido educativo consistente en LinkedIn (3x/semana)</t>
  </si>
  <si>
    <t>500+ seguidores relevantes</t>
  </si>
  <si>
    <t>Automatizar onboarding de clientes, reportes y seguimiento</t>
  </si>
  <si>
    <t>Onboarding &lt;48 horas</t>
  </si>
  <si>
    <t>Alianzas</t>
  </si>
  <si>
    <t>Cerrar 2-3 alianzas con contadores, consultores o agencias digitales</t>
  </si>
  <si>
    <t>5+ referidos por alianzas</t>
  </si>
  <si>
    <t>ETAPA 3: ESCALAMIENTO (Meses 19-36)</t>
  </si>
  <si>
    <t>Meta: $20K-$35K USD/mes. Mezcla servicios + productos</t>
  </si>
  <si>
    <t>$25K MRR</t>
  </si>
  <si>
    <t>Equipo de 4-6 personas: 2 devs IA, 1 comercial, 1 PM, 1 diseñador</t>
  </si>
  <si>
    <t>Equipo consolidado</t>
  </si>
  <si>
    <t>SaaS</t>
  </si>
  <si>
    <t>Lanzar versión beta de primer producto SaaS (chatbot clínicas o inmobiliario)</t>
  </si>
  <si>
    <t>50 usuarios beta</t>
  </si>
  <si>
    <t>Invertir en contenido + $500-1,000/mes en ads segmentados</t>
  </si>
  <si>
    <t>50+ leads/mes inbound</t>
  </si>
  <si>
    <t>Expansión</t>
  </si>
  <si>
    <t>Casos de éxito</t>
  </si>
  <si>
    <t>Publicar 5-10 casos de éxito documentados con resultados reales</t>
  </si>
  <si>
    <t>ETAPA 4: CONSOLIDACIÓN (Años 4-5)</t>
  </si>
  <si>
    <t>Meta: $50K-$80K+ USD/mes. 30%+ de ingresos pasivos</t>
  </si>
  <si>
    <t>$60K+ MRR</t>
  </si>
  <si>
    <t>Productos</t>
  </si>
  <si>
    <t>SaaS propio con 200+ usuarios pagos en 2 verticales</t>
  </si>
  <si>
    <t>200+ suscriptores SaaS</t>
  </si>
  <si>
    <t>8-15 personas. Estructura: ventas / delivery / producto / ops</t>
  </si>
  <si>
    <t>Organización formal</t>
  </si>
  <si>
    <t>Marca</t>
  </si>
  <si>
    <t>Posicionarse como referencia en IA para PYMES en México</t>
  </si>
  <si>
    <t>Media mentions + eventos</t>
  </si>
  <si>
    <t>Inversión</t>
  </si>
  <si>
    <t>Considerar ronda pre-seed o ángel si el SaaS despega</t>
  </si>
  <si>
    <t>$250K-$1M si aplica</t>
  </si>
  <si>
    <t>Expansión LatAm</t>
  </si>
  <si>
    <t>Colombia, Chile o Argentina como siguiente mercado</t>
  </si>
  <si>
    <t>1 mercado nuevo año 5</t>
  </si>
  <si>
    <t>8. PLAN OPERATIVO — 2 PERSONAS, RECURSOS LIMITADOS</t>
  </si>
  <si>
    <t>DIVISIÓN DE ROLES (2 FUNDADORES)</t>
  </si>
  <si>
    <t>Rol</t>
  </si>
  <si>
    <t>Responsabilidades principales</t>
  </si>
  <si>
    <t>Horas semanales (inicial)</t>
  </si>
  <si>
    <t>Fundador A — Técnico / Delivery</t>
  </si>
  <si>
    <t>Implementar chatbots, automatizaciones, agentes IA. Delivery de proyectos.</t>
  </si>
  <si>
    <t>3 hrs/semana (escalar a 10+)</t>
  </si>
  <si>
    <t>Fundador B — Comercial / Estrategia</t>
  </si>
  <si>
    <t>Prospección, demos, cierre ventas, propuestas, gestión clientes.</t>
  </si>
  <si>
    <t>Ambos</t>
  </si>
  <si>
    <t>Estrategia, roadmap, finanzas, decisiones clave, contenido (cuando aplique)</t>
  </si>
  <si>
    <t>1 hr/semana reunión</t>
  </si>
  <si>
    <t>RUTINA SEMANAL RECOMENDADA (FASE INICIAL)</t>
  </si>
  <si>
    <t>Día</t>
  </si>
  <si>
    <t>Fundador A (Técnico)</t>
  </si>
  <si>
    <t>Fundador B (Comercial)</t>
  </si>
  <si>
    <t>Lunes</t>
  </si>
  <si>
    <t>Revisar proyectos activos, avances</t>
  </si>
  <si>
    <t>Enviar 20 conexiones LinkedIn, 10 mensajes</t>
  </si>
  <si>
    <t>Martes</t>
  </si>
  <si>
    <t>Trabajo técnico: chatbot/automatización</t>
  </si>
  <si>
    <t>Agendar demos, responder prospectos</t>
  </si>
  <si>
    <t>Miércoles</t>
  </si>
  <si>
    <t>Trabajo técnico + documentación SOP</t>
  </si>
  <si>
    <t>Realizar demos, enviar propuestas</t>
  </si>
  <si>
    <t>Jueves</t>
  </si>
  <si>
    <t>Testing, ajustes, entrega de avances</t>
  </si>
  <si>
    <t>Follow-up clientes, gestión contratos</t>
  </si>
  <si>
    <t>Viernes (30 min)</t>
  </si>
  <si>
    <t>Reunión semanal: revisión KPIs, ajustes</t>
  </si>
  <si>
    <t>PRIORIZACIÓN DE TAREAS (FRAMEWORK EISENHOWER IA)</t>
  </si>
  <si>
    <t>Cuadrante</t>
  </si>
  <si>
    <t>Tipo de tarea</t>
  </si>
  <si>
    <t>Ejemplos</t>
  </si>
  <si>
    <t>🔴 Urgente + Importante</t>
  </si>
  <si>
    <t>Hacer AHORA</t>
  </si>
  <si>
    <t>Entregar proyecto cliente, responder prospecto caliente</t>
  </si>
  <si>
    <t>🟡 Importante, no urgente</t>
  </si>
  <si>
    <t>Planificar y ejecutar</t>
  </si>
  <si>
    <t>Crear templates, contenido, mejorar procesos</t>
  </si>
  <si>
    <t>🟢 Urgente, no importante</t>
  </si>
  <si>
    <t>Delegar o automatizar</t>
  </si>
  <si>
    <t>Reportes, recordatorios, emails de seguimiento</t>
  </si>
  <si>
    <t>⚪ Ni urgente ni importante</t>
  </si>
  <si>
    <t>Eliminar</t>
  </si>
  <si>
    <t>Reuniones innecesarias, tareas administrativas repetitivas</t>
  </si>
  <si>
    <t>AUTOMATIZACIÓN INTERNA (PROCESOS PROPIOS)</t>
  </si>
  <si>
    <t>Proceso a automatizar</t>
  </si>
  <si>
    <t>Tiempo ahorrado/semana</t>
  </si>
  <si>
    <t>Onboarding de clientes</t>
  </si>
  <si>
    <t>Notion + formulario Google + Make</t>
  </si>
  <si>
    <t>2-3 horas</t>
  </si>
  <si>
    <t>Reportes mensuales de resultados</t>
  </si>
  <si>
    <t>Make + Google Sheets + plantilla Notion</t>
  </si>
  <si>
    <t>2-4 horas</t>
  </si>
  <si>
    <t>Seguimiento de prospectos</t>
  </si>
  <si>
    <t>CRM simple (HubSpot free) + recordatorios</t>
  </si>
  <si>
    <t>1-2 horas</t>
  </si>
  <si>
    <t>Facturación y cobros</t>
  </si>
  <si>
    <t>Stripe + Notion + email automático</t>
  </si>
  <si>
    <t>1 hora</t>
  </si>
  <si>
    <t>Gestión de redes sociales</t>
  </si>
  <si>
    <t>Buffer / Metricool (programar contenido)</t>
  </si>
  <si>
    <t>Atención clientes (FAQs)</t>
  </si>
  <si>
    <t>HERRAMIENTAS DE GESTIÓN INTERNA</t>
  </si>
  <si>
    <t>Plan</t>
  </si>
  <si>
    <t>Gestión de proyectos</t>
  </si>
  <si>
    <t>Notion</t>
  </si>
  <si>
    <t>Gratuito</t>
  </si>
  <si>
    <t>Comunicación interna</t>
  </si>
  <si>
    <t>WhatsApp + Slack (futuro)</t>
  </si>
  <si>
    <t>CRM / Prospectos</t>
  </si>
  <si>
    <t>HubSpot CRM</t>
  </si>
  <si>
    <t>Videollamadas y demos</t>
  </si>
  <si>
    <t>Zoom / Google Meet</t>
  </si>
  <si>
    <t>Contratos y propuestas</t>
  </si>
  <si>
    <t>PandaDoc (free) / Notion</t>
  </si>
  <si>
    <t>Pagos internacionales</t>
  </si>
  <si>
    <t>Stripe / Wise</t>
  </si>
  <si>
    <t>% por transacción</t>
  </si>
  <si>
    <t>Almacenamiento</t>
  </si>
  <si>
    <t>Google Drive</t>
  </si>
  <si>
    <t>Gratuito (15 GB)</t>
  </si>
  <si>
    <t>9. STACK TECNOLÓGICO RECOMENDADO</t>
  </si>
  <si>
    <t>STACK BASE — AÑO 1 (MÍNIMO VIABLE)</t>
  </si>
  <si>
    <t>Categoría</t>
  </si>
  <si>
    <t>Uso principal</t>
  </si>
  <si>
    <t>Costo/mes</t>
  </si>
  <si>
    <t>LLM / IA Principal</t>
  </si>
  <si>
    <t>Motor de chatbots y agentes IA</t>
  </si>
  <si>
    <t>🔴 Esencial</t>
  </si>
  <si>
    <t>LLM Alternativo</t>
  </si>
  <si>
    <t>Anthropic Claude API</t>
  </si>
  <si>
    <t>Razonamiento complejo, análisis</t>
  </si>
  <si>
    <t>Automatización</t>
  </si>
  <si>
    <t>Make (Integromat)</t>
  </si>
  <si>
    <t>Flujos, integraciones, webhooks</t>
  </si>
  <si>
    <t>Automatización alt.</t>
  </si>
  <si>
    <t>Zapier</t>
  </si>
  <si>
    <t>Integraciones rápidas no-code</t>
  </si>
  <si>
    <t>🟡 Opcional</t>
  </si>
  <si>
    <t>Chatbot UI / Deploy</t>
  </si>
  <si>
    <t>Botpress / Voiceflow</t>
  </si>
  <si>
    <t>Construir y desplegar chatbots</t>
  </si>
  <si>
    <t>Base de conocimiento</t>
  </si>
  <si>
    <t>Notion AI / Obsidian</t>
  </si>
  <si>
    <t>Documentación y gestión interna</t>
  </si>
  <si>
    <t>Vector DB (RAG)</t>
  </si>
  <si>
    <t>Pinecone / Supabase pgvector</t>
  </si>
  <si>
    <t>Búsqueda semántica para agentes</t>
  </si>
  <si>
    <t>$0-25 USD</t>
  </si>
  <si>
    <t>Mensajería / WhatsApp</t>
  </si>
  <si>
    <t>Twilio / Meta Business API</t>
  </si>
  <si>
    <t>Canal de entrega de chatbots</t>
  </si>
  <si>
    <t>Analítica / Datos</t>
  </si>
  <si>
    <t>Hosting / Deploy</t>
  </si>
  <si>
    <t>Vercel / Railway / Render</t>
  </si>
  <si>
    <t>Hosting de apps y APIs</t>
  </si>
  <si>
    <t>STACK AVANZADO — AÑO 2-3 (ESCALA)</t>
  </si>
  <si>
    <t>LangChain + LangGraph</t>
  </si>
  <si>
    <t>Construcción de agentes complejos</t>
  </si>
  <si>
    <t>Agentes no-code</t>
  </si>
  <si>
    <t>n8n (self-hosted) / Dify.ai</t>
  </si>
  <si>
    <t>Agentes visuales para clientes</t>
  </si>
  <si>
    <t>Memoria de agentes</t>
  </si>
  <si>
    <t>Mem0 / Redis</t>
  </si>
  <si>
    <t>Contexto persistente en agentes</t>
  </si>
  <si>
    <t>Fine-tuning</t>
  </si>
  <si>
    <t>OpenAI fine-tuning / Replicate</t>
  </si>
  <si>
    <t>Modelos personalizados por cliente</t>
  </si>
  <si>
    <t>Variable</t>
  </si>
  <si>
    <t>Plataforma interna</t>
  </si>
  <si>
    <t>Analytics de uso</t>
  </si>
  <si>
    <t>PostHog / Mixpanel</t>
  </si>
  <si>
    <t>Medir comportamiento de usuarios</t>
  </si>
  <si>
    <t>CRM avanzado</t>
  </si>
  <si>
    <t>HubSpot (pago) / Pipedrive</t>
  </si>
  <si>
    <t>Gestión avanzada de ventas</t>
  </si>
  <si>
    <t>$45-90 USD</t>
  </si>
  <si>
    <t>ARQUITECTURA BASE RECOMENDADA</t>
  </si>
  <si>
    <t>Componente</t>
  </si>
  <si>
    <t>Capa de entrada</t>
  </si>
  <si>
    <t>WhatsApp / Web / Telegram → Twilio/Meta API recibe mensaje</t>
  </si>
  <si>
    <t>Capa de orquestación</t>
  </si>
  <si>
    <t>Capa de IA</t>
  </si>
  <si>
    <t>GPT-4o o Claude → procesa, razona, genera respuesta con RAG</t>
  </si>
  <si>
    <t>Capa de datos</t>
  </si>
  <si>
    <t>Supabase/Postgres → historial de conversaciones, leads, datos cliente</t>
  </si>
  <si>
    <t>Capa de integración</t>
  </si>
  <si>
    <t>APIs externas: CRM, calendario, ERP del cliente</t>
  </si>
  <si>
    <t>Capa de análisis</t>
  </si>
  <si>
    <t>Google Sheets + Looker Studio → reportes de desempeño para cliente</t>
  </si>
  <si>
    <t>EVOLUCIÓN DEL STACK A 5 AÑOS</t>
  </si>
  <si>
    <t>Año</t>
  </si>
  <si>
    <t>Adición al stack</t>
  </si>
  <si>
    <t>GPT-4o + Claude + Make + Botpress + Twilio</t>
  </si>
  <si>
    <t>Operar y entregar servicios</t>
  </si>
  <si>
    <t>LangChain + n8n + Pinecone + Supabase</t>
  </si>
  <si>
    <t>Agentes más complejos y escalables</t>
  </si>
  <si>
    <t>Dify.ai + fine-tuning + API propia + PostHog</t>
  </si>
  <si>
    <t>Productos propios y plataforma</t>
  </si>
  <si>
    <t>SaaS propio (Next.js + Supabase + OpenAI)</t>
  </si>
  <si>
    <t>Producto escalable B2B</t>
  </si>
  <si>
    <t>Stack vertical propio por industria</t>
  </si>
  <si>
    <t>Plataforma IA propietaria para PYMES</t>
  </si>
  <si>
    <t>SUPUESTOS BASE (AJUSTABLES)</t>
  </si>
  <si>
    <t>Parámetro</t>
  </si>
  <si>
    <t>Valor</t>
  </si>
  <si>
    <t>% clientes que toman retainer</t>
  </si>
  <si>
    <t>Mes</t>
  </si>
  <si>
    <t>Mes #</t>
  </si>
  <si>
    <t>Clientes nuevos</t>
  </si>
  <si>
    <t>Ene 2025</t>
  </si>
  <si>
    <t>Abr 2025</t>
  </si>
  <si>
    <t>Ago 2025</t>
  </si>
  <si>
    <t>Dic 2025</t>
  </si>
  <si>
    <t>Ene 2026</t>
  </si>
  <si>
    <t>Abr 2026</t>
  </si>
  <si>
    <t>Ago 2026</t>
  </si>
  <si>
    <t>Dic 2026</t>
  </si>
  <si>
    <t>Categoría de costo</t>
  </si>
  <si>
    <t>Herramientas IA (APIs)</t>
  </si>
  <si>
    <t>OpenAI + Claude + Twilio + Make</t>
  </si>
  <si>
    <t>Herramientas operativas</t>
  </si>
  <si>
    <t>Notion + CRM + Hosting + Zoom</t>
  </si>
  <si>
    <t>Marketing digital</t>
  </si>
  <si>
    <t>Nómina / Freelancers</t>
  </si>
  <si>
    <t>Contabilidad / Legal</t>
  </si>
  <si>
    <t>Contador externo, aspectos legales</t>
  </si>
  <si>
    <t>Contingencias (5%)</t>
  </si>
  <si>
    <t>TOTAL COSTOS MENSUALES</t>
  </si>
  <si>
    <t>Margen EBITDA</t>
  </si>
  <si>
    <t>Año 1 (2025)</t>
  </si>
  <si>
    <t>Año 2 (2026)</t>
  </si>
  <si>
    <t>Año 3 (2027)</t>
  </si>
  <si>
    <t>Año 4 (2028)</t>
  </si>
  <si>
    <t>Año 5 (2029)</t>
  </si>
  <si>
    <t>Nuevos clientes/mes (inicial)</t>
  </si>
  <si>
    <t>Churn mensual estimado</t>
  </si>
  <si>
    <t>PROYECCIÓN MENSUAL — AÑO 1 y AÑO 2 (24 MESES)</t>
  </si>
  <si>
    <t>Ads, contenido, tools de mkt</t>
  </si>
  <si>
    <t>Colaboradores según proyectos</t>
  </si>
  <si>
    <t>Capacitación técnica</t>
  </si>
  <si>
    <t>Cursos y actualización del equipo</t>
  </si>
  <si>
    <t>Imprevistos y gastos variables</t>
  </si>
  <si>
    <t>Clientes prom.</t>
  </si>
  <si>
    <t>Ing. Proyectos</t>
  </si>
  <si>
    <t>Ing. Recurrente</t>
  </si>
  <si>
    <t>Total Ingresos</t>
  </si>
  <si>
    <t>EBITDA</t>
  </si>
  <si>
    <t>PUNTO DE EQUILIBRIO</t>
  </si>
  <si>
    <t>Valor / Descripción</t>
  </si>
  <si>
    <t>Costo fijo mensual (Año 1)</t>
  </si>
  <si>
    <t>Ingreso promedio por cliente/mes</t>
  </si>
  <si>
    <t>Clientes mínimos para break-even</t>
  </si>
  <si>
    <t>1 cliente activo (costo casi cero inicial)</t>
  </si>
  <si>
    <t>Clientes para $10K MRR</t>
  </si>
  <si>
    <t>~14 clientes activos con retainer</t>
  </si>
  <si>
    <t>Mes estimado para $10K MRR</t>
  </si>
  <si>
    <t>Mes 15-18 (escenario base realista)</t>
  </si>
  <si>
    <t>Flujo de caja positivo desde</t>
  </si>
  <si>
    <t>Mes 1 (primer cliente cubre costos)</t>
  </si>
  <si>
    <t>11. ESTRATEGIA DE ESCALABILIDAD — DE SERVICIOS A PRODUCTOS</t>
  </si>
  <si>
    <t>RUTA DE EVOLUCIÓN DEL NEGOCIO</t>
  </si>
  <si>
    <t>Fase</t>
  </si>
  <si>
    <t>Modelo</t>
  </si>
  <si>
    <t>Característica principal</t>
  </si>
  <si>
    <t>Ingresos esperados</t>
  </si>
  <si>
    <t>Fase 1 (Mes 1-12)</t>
  </si>
  <si>
    <t>Agencia de servicios</t>
  </si>
  <si>
    <t>100% tiempo por dinero. Proyectos y retainers</t>
  </si>
  <si>
    <t>Fase 2 (Mes 12-24)</t>
  </si>
  <si>
    <t>Agencia con productos embrión</t>
  </si>
  <si>
    <t>Servicios + primeras plantillas y mini-productos</t>
  </si>
  <si>
    <t>Fase 3 (Mes 24-36)</t>
  </si>
  <si>
    <t>Híbrido servicios + SaaS beta</t>
  </si>
  <si>
    <t>Lanzar SaaS vertical. Servicios financian desarrollo</t>
  </si>
  <si>
    <t>Fase 4 (Mes 36-48)</t>
  </si>
  <si>
    <t>Empresa de productos con servicios premium</t>
  </si>
  <si>
    <t>SaaS como motor principal. Servicios para clientes estratégicos</t>
  </si>
  <si>
    <t>Fase 5 (Mes 48-60)</t>
  </si>
  <si>
    <t>Plataforma IA propietaria</t>
  </si>
  <si>
    <t>Ingresos mayoritariamente pasivos/escalables</t>
  </si>
  <si>
    <t>IDEAS DE PRODUCTOS SAAS — VERTICALES PRIORITARIOS</t>
  </si>
  <si>
    <t>Mercado objetivo</t>
  </si>
  <si>
    <t>Precio estimado</t>
  </si>
  <si>
    <t>Plataforma de chatbot + agendamiento + recordatorios para salud</t>
  </si>
  <si>
    <t>Clínicas, consultorios, hospitales pequeños MX</t>
  </si>
  <si>
    <t>Agente autónomo que califica, agenda y da seguimiento a leads</t>
  </si>
  <si>
    <t>Agencias inmobiliarias, desarrolladoras MX/LatAm</t>
  </si>
  <si>
    <t>SaaS Automatización PYME</t>
  </si>
  <si>
    <t>Suite de automatizaciones pre-configuradas para PYMES</t>
  </si>
  <si>
    <t>PYMES en general (horizontal)</t>
  </si>
  <si>
    <t>SaaS Análisis de Datos PYME</t>
  </si>
  <si>
    <t>Dashboards inteligentes conectados a datos del negocio</t>
  </si>
  <si>
    <t>PYMES con datos dispersos</t>
  </si>
  <si>
    <t>API de Documentos IA</t>
  </si>
  <si>
    <t>Procesamiento y extracción de datos de PDFs, contratos, facturas</t>
  </si>
  <si>
    <t>Despachos, inmobiliarias, hospitales</t>
  </si>
  <si>
    <t>ESTRATEGIA DE TRANSICIÓN SERVICIO → PRODUCTO</t>
  </si>
  <si>
    <t>Cuándo</t>
  </si>
  <si>
    <t>1. Identificar patrón repetible</t>
  </si>
  <si>
    <t>Detectar qué solución se repite más entre clientes (mismo problema)</t>
  </si>
  <si>
    <t>Mes 3-6</t>
  </si>
  <si>
    <t>2. Crear plantilla/template vendible</t>
  </si>
  <si>
    <t>Documentar y empaquetar la solución como producto reutilizable</t>
  </si>
  <si>
    <t>Mes 6-9</t>
  </si>
  <si>
    <t>3. Validar con 3-5 clientes piloto</t>
  </si>
  <si>
    <t>Cobrar precio reducido a cambio de feedback y testimonio</t>
  </si>
  <si>
    <t>Mes 9-12</t>
  </si>
  <si>
    <t>4. Construir MVP del SaaS</t>
  </si>
  <si>
    <t>Versión mínima funcional del producto. Sin sobre-ingeniería</t>
  </si>
  <si>
    <t>Mes 12-18</t>
  </si>
  <si>
    <t>5. Lanzar beta privada</t>
  </si>
  <si>
    <t>10-20 usuarios beta. Iterar rápido.</t>
  </si>
  <si>
    <t>Mes 18-24</t>
  </si>
  <si>
    <t>6. Lanzar comercialmente</t>
  </si>
  <si>
    <t>GENERACIÓN DE INGRESOS PASIVOS / SEMI-PASIVOS</t>
  </si>
  <si>
    <t>Mecanismo</t>
  </si>
  <si>
    <t>SaaS recurrente</t>
  </si>
  <si>
    <t>Usuarios pagando suscripción mensual o anual</t>
  </si>
  <si>
    <t>Plantillas / Templates IA</t>
  </si>
  <si>
    <t>Venta de flujos pre-configurados en Gumroad / sitio propio</t>
  </si>
  <si>
    <t>Cursos online</t>
  </si>
  <si>
    <t>Curso de IA para PYMES en Hotmart / Teachable / Udemy</t>
  </si>
  <si>
    <t>Afiliados de herramientas</t>
  </si>
  <si>
    <t>Comisiones por recomendar Make, Botpress, Voiceflow, etc.</t>
  </si>
  <si>
    <t>$200-$1K USD/mes</t>
  </si>
  <si>
    <t>Licencias white-label</t>
  </si>
  <si>
    <t>Licenciar soluciones propias a otras agencias o partners</t>
  </si>
  <si>
    <t>$1K-$10K USD/mes</t>
  </si>
  <si>
    <t>12. RIESGOS Y MITIGACIÓN</t>
  </si>
  <si>
    <t>MATRIZ DE RIESGOS</t>
  </si>
  <si>
    <t>Riesgo</t>
  </si>
  <si>
    <t>Probabilidad</t>
  </si>
  <si>
    <t>Impacto</t>
  </si>
  <si>
    <t>Estrategia de mitigación</t>
  </si>
  <si>
    <t>Semáforo</t>
  </si>
  <si>
    <t>Pocos clientes en los primeros meses</t>
  </si>
  <si>
    <t>Alta</t>
  </si>
  <si>
    <t>Alto</t>
  </si>
  <si>
    <t>Outbound agresivo desde día 1. Ofrecer piloto gratuito a 1-2 clientes para generar casos de éxito</t>
  </si>
  <si>
    <t>🔴</t>
  </si>
  <si>
    <t>Dependencia de APIs externas (OpenAI, etc.)</t>
  </si>
  <si>
    <t>Media</t>
  </si>
  <si>
    <t>Usar múltiples proveedores (OpenAI + Claude + Groq). Tener fallback configurado</t>
  </si>
  <si>
    <t>🟡</t>
  </si>
  <si>
    <t>Cambio de precios en APIs IA</t>
  </si>
  <si>
    <t>Contratos con clientes incluyen cláusula de ajuste por costos de infraestructura</t>
  </si>
  <si>
    <t>Competidor directo en el nicho</t>
  </si>
  <si>
    <t>Especializarse profundamente en 1-2 sectores. Ventaja por conocimiento del dominio</t>
  </si>
  <si>
    <t>Cliente grande no paga a tiempo</t>
  </si>
  <si>
    <t>Solo 2 personas = cuello de botella</t>
  </si>
  <si>
    <t>Automatizar delivery al máximo. Templates reutilizables. Contratar freelancer en mes 10</t>
  </si>
  <si>
    <t>Falta de tiempo (3 hrs/semana por persona)</t>
  </si>
  <si>
    <t>Priorizar 1 canal de adquisición y 1-2 servicios. Crecer solo cuando haya resultados</t>
  </si>
  <si>
    <t>Tecnología obsoleta o reemplazada</t>
  </si>
  <si>
    <t>Baja</t>
  </si>
  <si>
    <t>Actualización continua. Stack modular que permite swap de componentes</t>
  </si>
  <si>
    <t>Problemas legales o de privacidad de datos</t>
  </si>
  <si>
    <t>Contratos con cláusulas de privacidad. Cumplir con LFPDPPP (México). Asesor legal básico</t>
  </si>
  <si>
    <t>Dificultad para cobrar en USD siendo empresa MX</t>
  </si>
  <si>
    <t>Usar Stripe, Wise o PayPal para cobros internacionales. Facturación en MXN si aplica</t>
  </si>
  <si>
    <t>El cliente no ve ROI y cancela</t>
  </si>
  <si>
    <t>Quemarse / fatiga de los fundadores</t>
  </si>
  <si>
    <t>PLAN DE CONTINGENCIA — ESCENARIO PESIMISTA (0 clientes en 3 meses)</t>
  </si>
  <si>
    <t>Acción de contingencia</t>
  </si>
  <si>
    <t>Hacer pivote de nicho: probar con una industria diferente (ej. restaurantes, e-commerce)</t>
  </si>
  <si>
    <t>Bajar precio de entrada: ofrecer proyecto piloto a $500 USD (quick win demostrable)</t>
  </si>
  <si>
    <t>Activar red personal: pedir a conocidos, familia, ex-colegas que recomienden o sean primeros clientes</t>
  </si>
  <si>
    <t>Validar mensaje: hacer 20 entrevistas a dueños de PYME para entender su problema real</t>
  </si>
  <si>
    <t>INDICADORES DE ALERTA TEMPRANA</t>
  </si>
  <si>
    <t>Umbral de alarma</t>
  </si>
  <si>
    <t>Acción inmediata</t>
  </si>
  <si>
    <t>MRR decreciente 2 meses consecutivos</t>
  </si>
  <si>
    <t>MRR &lt; mes anterior</t>
  </si>
  <si>
    <t>Revisar oferta, precio y pipeline urgente</t>
  </si>
  <si>
    <t>3+ clientes cancelan en 1 mes</t>
  </si>
  <si>
    <t>Auditar entrega, calidad y expectativas</t>
  </si>
  <si>
    <t>0 demos agendadas en 2 semanas</t>
  </si>
  <si>
    <t>Sin actividad comercial</t>
  </si>
  <si>
    <t>Revisar mensaje de venta y canal outbound</t>
  </si>
  <si>
    <t>Costo API &gt; 30% de ingresos</t>
  </si>
  <si>
    <t>Margen comprimido</t>
  </si>
  <si>
    <t>Optimizar prompts, cachear respuestas, cambiar proveedor</t>
  </si>
  <si>
    <t>$35,000 — $87,500 MXN por proyecto / mes</t>
  </si>
  <si>
    <t>$175,000 MXN/mes en ingresos recurrentes</t>
  </si>
  <si>
    <t>Validar oferta, cerrar 3-5 clientes, $52,500-$87,500 MXN/mes</t>
  </si>
  <si>
    <t>Escalar a $262,500-$350,000 MXN/mes, equipo 4-5 personas</t>
  </si>
  <si>
    <t>Lanzar primer producto SaaS, $525,000+ MXN/mes</t>
  </si>
  <si>
    <t>Consolidar 2 nichos (salud + inmobiliario), $875,000+ MXN/mes</t>
  </si>
  <si>
    <t>Consultora especializada + productos propios, &gt;$1,400,000 MXN/mes</t>
  </si>
  <si>
    <t>$26,250 - $52,500 MXN</t>
  </si>
  <si>
    <t>Setup + $5,250-$8,750/mes</t>
  </si>
  <si>
    <t>$17,500 - $43,750 MXN</t>
  </si>
  <si>
    <t>Setup + $3,500-$7,000/mes</t>
  </si>
  <si>
    <t>$35,000 - $70,000 MXN</t>
  </si>
  <si>
    <t>Setup + $7,000-$14,000/mes</t>
  </si>
  <si>
    <t>$26,250 - $61,250 MXN</t>
  </si>
  <si>
    <t>Setup + $5,250-$10,500/mes</t>
  </si>
  <si>
    <t>$8,750 - $26,250 MXN</t>
  </si>
  <si>
    <t>$43,750 MXN</t>
  </si>
  <si>
    <t>Setup + $7,000/mes</t>
  </si>
  <si>
    <t>$70,000 - $140,000 MXN</t>
  </si>
  <si>
    <t>$61,250 - $122,500 MXN</t>
  </si>
  <si>
    <t>$43,750 - $87,500 MXN</t>
  </si>
  <si>
    <t>$52,500 - $105,000 MXN</t>
  </si>
  <si>
    <t>$14,000 - $35,000 MXN</t>
  </si>
  <si>
    <t>$2,625-$7,000/mes</t>
  </si>
  <si>
    <t>$3,500-$8,750/mes</t>
  </si>
  <si>
    <t>$1,697 - $5,197 MXN</t>
  </si>
  <si>
    <t>$3,447 - $8,697 MXN</t>
  </si>
  <si>
    <t>Por uso / $1,732+/mes</t>
  </si>
  <si>
    <t>$5,232 - $8,732/mes</t>
  </si>
  <si>
    <t>$12,232 - $17,482/mes</t>
  </si>
  <si>
    <t>$26,250 - $52,500/mes</t>
  </si>
  <si>
    <t>$35,000 - $140,000 MXN</t>
  </si>
  <si>
    <t>$26,250 - $87,500 MXN</t>
  </si>
  <si>
    <t>$3,500 - $14,000 MXN/mes</t>
  </si>
  <si>
    <t>$1,732 - $8,750 MXN/mes</t>
  </si>
  <si>
    <t>$8,750 - $35,000 MXN</t>
  </si>
  <si>
    <t>$17,500 - $52,500 MXN</t>
  </si>
  <si>
    <t>$87,500+ MXN</t>
  </si>
  <si>
    <t>$1,050,000+ MXN</t>
  </si>
  <si>
    <t>&lt;$3,500 MXN</t>
  </si>
  <si>
    <t>&gt;$87,500 MXN</t>
  </si>
  <si>
    <t>$14,000+ MXN/mes</t>
  </si>
  <si>
    <t>$5,250-$8,750/mes</t>
  </si>
  <si>
    <t>Pequeño proyecto de 1-2 semanas: chatbot básico o automatización simple — $8,750-$14,000 MXN</t>
  </si>
  <si>
    <t>Con el quick win funcionando, proponer el proyecto completo $35,000-$87,500 MXN</t>
  </si>
  <si>
    <t>Después del proyecto, ofrecer mantenimiento + mejoras por $5,250-$10,500/mes</t>
  </si>
  <si>
    <t>$35,000-$52,500 MXN al mes 6</t>
  </si>
  <si>
    <t>$140,000-$210,000 MXN/mes</t>
  </si>
  <si>
    <t>$525,000+ MXN/mes</t>
  </si>
  <si>
    <t>$875,000+ MXN/mes</t>
  </si>
  <si>
    <t>&gt;$1,400,000 MXN/mes</t>
  </si>
  <si>
    <t>$437,500+ MRR</t>
  </si>
  <si>
    <t>$1,050,000+ MRR</t>
  </si>
  <si>
    <t>$350-$1,750/mes</t>
  </si>
  <si>
    <t>$350-$1,400/mes</t>
  </si>
  <si>
    <t>$157-$507/mes</t>
  </si>
  <si>
    <t>$332-$857/mes</t>
  </si>
  <si>
    <t>$0-$857/mes</t>
  </si>
  <si>
    <t>$0-$175/mes</t>
  </si>
  <si>
    <t>$0-$437/mes</t>
  </si>
  <si>
    <t>$175-$875/mes</t>
  </si>
  <si>
    <t>$0 (código abierto)</t>
  </si>
  <si>
    <t>$0-$350/mes</t>
  </si>
  <si>
    <t>$437/mes</t>
  </si>
  <si>
    <t>10. PROYECCIONES FINANCIERAS — 5 AÑOS (PESOS MEXICANOS)</t>
  </si>
  <si>
    <t>Ticket proyecto promedio (MXN)</t>
  </si>
  <si>
    <t>Retainer mensual promedio (MXN)</t>
  </si>
  <si>
    <t>Tipo de cambio referencia USD/MXN</t>
  </si>
  <si>
    <t>Ing. Proyectos (MXN)</t>
  </si>
  <si>
    <t>Ing. Recurrente (MXN)</t>
  </si>
  <si>
    <t>Total Ingresos (MXN)</t>
  </si>
  <si>
    <t>MRR (MXN)</t>
  </si>
  <si>
    <t>COSTOS ESTIMADOS MENSUALES POR AÑO (MXN)</t>
  </si>
  <si>
    <t>Año 1 (MXN)</t>
  </si>
  <si>
    <t>Año 2 (MXN)</t>
  </si>
  <si>
    <t>Año 3 (MXN)</t>
  </si>
  <si>
    <t>Año 4 (MXN)</t>
  </si>
  <si>
    <t>Año 5 (MXN)</t>
  </si>
  <si>
    <t>RESUMEN ANUAL — PROYECCIÓN A 5 AÑOS (ESCENARIO BASE, PESOS MEXICANOS)</t>
  </si>
  <si>
    <t>Total Costos (MXN)</t>
  </si>
  <si>
    <t>EBITDA (MXN)</t>
  </si>
  <si>
    <t>$7,350 MXN</t>
  </si>
  <si>
    <t>$12,600 MXN/mes (proyecto prorrateado + retainer)</t>
  </si>
  <si>
    <t>$0 MXN — modelo 100% bootstrapped</t>
  </si>
  <si>
    <t>Costos (MXN)</t>
  </si>
  <si>
    <t>$35,000-$140,000 MXN/mes</t>
  </si>
  <si>
    <t>$175,000-$350,000 MXN/mes</t>
  </si>
  <si>
    <t>$350,000-$700,000 MXN/mes</t>
  </si>
  <si>
    <t>$700,000-$1,225,000 MXN/mes</t>
  </si>
  <si>
    <t>$1,225,000-$1,750,000+ MXN/mes</t>
  </si>
  <si>
    <t>$1,732-$4,375/mes</t>
  </si>
  <si>
    <t>$2,625-$6,125/mes</t>
  </si>
  <si>
    <t>Por volumen / $1,732+/mes</t>
  </si>
  <si>
    <t>$87,500-$875,000+ MXN/mes</t>
  </si>
  <si>
    <t>$8,750-$52,500 MXN/mes</t>
  </si>
  <si>
    <t>$8,750-$87,500 MXN/mes</t>
  </si>
  <si>
    <t>$3,500-$17,500 MXN/mes</t>
  </si>
  <si>
    <t>$17,500-$175,000 MXN/mes</t>
  </si>
  <si>
    <t>Cobrar 50% adelantado ($17,500+ MXN). Usar Stripe. Contratos claros.</t>
  </si>
  <si>
    <t>Definir KPIs de éxito. Reporte mensual. Check-in a los 30 días.</t>
  </si>
  <si>
    <t>Pequeño proyecto piloto a $8,750 MXN (quick win demostrable)</t>
  </si>
  <si>
    <t>DASHBOARD FINANCIERO — AGENCIA DE INTELIGENCIA ARTIFICIAL MX</t>
  </si>
  <si>
    <t>Plan de Negocios 2025–2029  |  Tipo de cambio: $17.50 MXN/USD  |  Escenario: Base Realista</t>
  </si>
  <si>
    <t>💰 INGRESOS AÑO 1</t>
  </si>
  <si>
    <t>📈 INGRESOS AÑO 5</t>
  </si>
  <si>
    <t>🎯 META MRR</t>
  </si>
  <si>
    <t>📅 MES BREAK-EVEN</t>
  </si>
  <si>
    <t>👥 CLIENTES AÑO 5</t>
  </si>
  <si>
    <t>💹 MARGEN EBITDA Y5</t>
  </si>
  <si>
    <t>Mes 15-18</t>
  </si>
  <si>
    <t>Total ingresos (MXN)</t>
  </si>
  <si>
    <t>$175,000 MXN/mes</t>
  </si>
  <si>
    <t>Escenario base</t>
  </si>
  <si>
    <t>Clientes activos (prom.)</t>
  </si>
  <si>
    <t>EBITDA / Ingresos</t>
  </si>
  <si>
    <t>RESUMEN FINANCIERO ANUAL</t>
  </si>
  <si>
    <t>Costos Totales</t>
  </si>
  <si>
    <t>Margen</t>
  </si>
  <si>
    <t>PROYECCIÓN MENSUAL (24 MESES)</t>
  </si>
  <si>
    <t>MRR</t>
  </si>
  <si>
    <t>COSTOS MENSUALES ESTIMADOS POR AÑO (MXN)</t>
  </si>
  <si>
    <t>PUNTO DE EQUILIBRIO Y MÉTRICAS CLAVE</t>
  </si>
  <si>
    <t>Costo fijo/mes Año 1</t>
  </si>
  <si>
    <t>Ing. por cliente/mes</t>
  </si>
  <si>
    <t>Mes break-even</t>
  </si>
  <si>
    <t>Clientes p/ break-even</t>
  </si>
  <si>
    <t>Clientes p/ $175K MRR</t>
  </si>
  <si>
    <t>Inversión inicial</t>
  </si>
  <si>
    <t>⚠️ Nota: Todas las cifras son proyecciones del escenario base. Los valores se actualizan automáticamente al modificar los supuestos en la hoja '10. Proyecciones Financieras'.</t>
  </si>
  <si>
    <t xml:space="preserve">Nombre </t>
  </si>
  <si>
    <t>Ryventis Solutions</t>
  </si>
  <si>
    <t>Google Gemini 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</si>
</sst>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\-&quot;$&quot;#,##0"/>
    <numFmt numFmtId="164" formatCode="&quot;$&quot;#,##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0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1F4E79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AE5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B59B6"/>
        <bgColor indexed="64"/>
      </patternFill>
    </fill>
    <fill>
      <patternFill patternType="solid">
        <fgColor rgb="FFB07CD6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E86B1C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833C00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1F7145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E0000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CE8E8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843C0C"/>
        <bgColor indexed="64"/>
      </patternFill>
    </fill>
    <fill>
      <patternFill patternType="solid">
        <fgColor rgb="FFFFF2E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EEF7EA"/>
        <bgColor indexed="64"/>
      </patternFill>
    </fill>
    <fill>
      <patternFill patternType="solid">
        <fgColor rgb="FFE8D5F5"/>
        <bgColor indexed="64"/>
      </patternFill>
    </fill>
    <fill>
      <patternFill patternType="solid">
        <fgColor rgb="FFEAD5F5"/>
        <bgColor indexed="64"/>
      </patternFill>
    </fill>
    <fill>
      <patternFill patternType="solid">
        <fgColor rgb="FFF5EEFF"/>
        <bgColor indexed="64"/>
      </patternFill>
    </fill>
    <fill>
      <patternFill patternType="solid">
        <fgColor rgb="FFFFE0E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0F7EC"/>
        <bgColor indexed="64"/>
      </patternFill>
    </fill>
    <fill>
      <patternFill patternType="solid">
        <fgColor rgb="FFF0E8FA"/>
        <bgColor indexed="64"/>
      </patternFill>
    </fill>
    <fill>
      <patternFill patternType="solid">
        <fgColor rgb="FFFAFAFA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5" fillId="3" borderId="0" xfId="0" applyFon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5" fillId="3" borderId="4" xfId="0" applyFont="1" applyFill="1" applyBorder="1"/>
    <xf numFmtId="0" fontId="0" fillId="4" borderId="4" xfId="0" applyFill="1" applyBorder="1"/>
    <xf numFmtId="0" fontId="0" fillId="5" borderId="4" xfId="0" applyFill="1" applyBorder="1"/>
    <xf numFmtId="0" fontId="0" fillId="0" borderId="0" xfId="0" applyAlignment="1">
      <alignment wrapText="1"/>
    </xf>
    <xf numFmtId="0" fontId="5" fillId="3" borderId="4" xfId="0" applyFont="1" applyFill="1" applyBorder="1" applyAlignment="1">
      <alignment wrapText="1"/>
    </xf>
    <xf numFmtId="0" fontId="0" fillId="4" borderId="4" xfId="0" applyFill="1" applyBorder="1" applyAlignment="1">
      <alignment wrapText="1"/>
    </xf>
    <xf numFmtId="0" fontId="0" fillId="5" borderId="4" xfId="0" applyFill="1" applyBorder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8" borderId="0" xfId="0" applyFill="1" applyAlignment="1">
      <alignment wrapText="1"/>
    </xf>
    <xf numFmtId="0" fontId="5" fillId="11" borderId="0" xfId="0" applyFont="1" applyFill="1" applyAlignment="1">
      <alignment wrapText="1"/>
    </xf>
    <xf numFmtId="0" fontId="5" fillId="14" borderId="0" xfId="0" applyFont="1" applyFill="1" applyAlignment="1">
      <alignment wrapText="1"/>
    </xf>
    <xf numFmtId="0" fontId="7" fillId="17" borderId="0" xfId="0" applyFont="1" applyFill="1" applyAlignment="1">
      <alignment wrapText="1"/>
    </xf>
    <xf numFmtId="0" fontId="0" fillId="18" borderId="0" xfId="0" applyFill="1" applyAlignment="1">
      <alignment wrapText="1"/>
    </xf>
    <xf numFmtId="6" fontId="0" fillId="18" borderId="0" xfId="0" applyNumberFormat="1" applyFill="1" applyAlignment="1">
      <alignment wrapText="1"/>
    </xf>
    <xf numFmtId="0" fontId="1" fillId="20" borderId="0" xfId="0" applyFont="1" applyFill="1" applyAlignment="1">
      <alignment wrapText="1"/>
    </xf>
    <xf numFmtId="6" fontId="0" fillId="0" borderId="0" xfId="0" applyNumberFormat="1" applyAlignment="1">
      <alignment wrapText="1"/>
    </xf>
    <xf numFmtId="0" fontId="1" fillId="17" borderId="0" xfId="0" applyFont="1" applyFill="1" applyAlignment="1">
      <alignment wrapText="1"/>
    </xf>
    <xf numFmtId="0" fontId="1" fillId="24" borderId="0" xfId="0" applyFont="1" applyFill="1" applyAlignment="1">
      <alignment wrapText="1"/>
    </xf>
    <xf numFmtId="0" fontId="1" fillId="27" borderId="0" xfId="0" applyFont="1" applyFill="1" applyAlignment="1">
      <alignment wrapText="1"/>
    </xf>
    <xf numFmtId="0" fontId="1" fillId="30" borderId="0" xfId="0" applyFont="1" applyFill="1" applyAlignment="1">
      <alignment wrapText="1"/>
    </xf>
    <xf numFmtId="9" fontId="0" fillId="0" borderId="0" xfId="0" applyNumberFormat="1"/>
    <xf numFmtId="0" fontId="1" fillId="33" borderId="0" xfId="0" applyFont="1" applyFill="1" applyAlignment="1">
      <alignment wrapText="1"/>
    </xf>
    <xf numFmtId="0" fontId="0" fillId="34" borderId="0" xfId="0" applyFill="1" applyAlignment="1">
      <alignment wrapText="1"/>
    </xf>
    <xf numFmtId="0" fontId="8" fillId="34" borderId="0" xfId="0" applyFont="1" applyFill="1" applyAlignment="1">
      <alignment wrapText="1"/>
    </xf>
    <xf numFmtId="9" fontId="8" fillId="5" borderId="0" xfId="0" applyNumberFormat="1" applyFont="1" applyFill="1" applyAlignment="1">
      <alignment wrapText="1"/>
    </xf>
    <xf numFmtId="0" fontId="0" fillId="37" borderId="0" xfId="0" applyFill="1" applyAlignment="1">
      <alignment wrapText="1"/>
    </xf>
    <xf numFmtId="164" fontId="0" fillId="37" borderId="0" xfId="0" applyNumberFormat="1" applyFill="1" applyAlignment="1">
      <alignment wrapText="1"/>
    </xf>
    <xf numFmtId="164" fontId="0" fillId="18" borderId="0" xfId="0" applyNumberFormat="1" applyFill="1" applyAlignment="1">
      <alignment wrapText="1"/>
    </xf>
    <xf numFmtId="0" fontId="5" fillId="15" borderId="0" xfId="0" applyFont="1" applyFill="1" applyAlignment="1">
      <alignment wrapText="1"/>
    </xf>
    <xf numFmtId="164" fontId="5" fillId="15" borderId="0" xfId="0" applyNumberFormat="1" applyFont="1" applyFill="1" applyAlignment="1">
      <alignment wrapText="1"/>
    </xf>
    <xf numFmtId="0" fontId="1" fillId="6" borderId="0" xfId="0" applyFont="1" applyFill="1" applyAlignment="1">
      <alignment wrapText="1"/>
    </xf>
    <xf numFmtId="0" fontId="1" fillId="40" borderId="0" xfId="0" applyFont="1" applyFill="1" applyAlignment="1">
      <alignment wrapText="1"/>
    </xf>
    <xf numFmtId="0" fontId="0" fillId="41" borderId="0" xfId="0" applyFill="1" applyAlignment="1">
      <alignment wrapText="1"/>
    </xf>
    <xf numFmtId="0" fontId="0" fillId="42" borderId="0" xfId="0" applyFill="1" applyAlignment="1">
      <alignment wrapText="1"/>
    </xf>
    <xf numFmtId="0" fontId="0" fillId="43" borderId="0" xfId="0" applyFill="1" applyAlignment="1">
      <alignment wrapText="1"/>
    </xf>
    <xf numFmtId="164" fontId="0" fillId="4" borderId="4" xfId="0" applyNumberFormat="1" applyFill="1" applyBorder="1" applyAlignment="1">
      <alignment wrapText="1"/>
    </xf>
    <xf numFmtId="164" fontId="1" fillId="4" borderId="4" xfId="0" applyNumberFormat="1" applyFont="1" applyFill="1" applyBorder="1" applyAlignment="1">
      <alignment wrapText="1"/>
    </xf>
    <xf numFmtId="0" fontId="0" fillId="35" borderId="4" xfId="0" applyFill="1" applyBorder="1" applyAlignment="1">
      <alignment wrapText="1"/>
    </xf>
    <xf numFmtId="164" fontId="0" fillId="35" borderId="4" xfId="0" applyNumberFormat="1" applyFill="1" applyBorder="1" applyAlignment="1">
      <alignment wrapText="1"/>
    </xf>
    <xf numFmtId="164" fontId="1" fillId="35" borderId="4" xfId="0" applyNumberFormat="1" applyFont="1" applyFill="1" applyBorder="1" applyAlignment="1">
      <alignment wrapText="1"/>
    </xf>
    <xf numFmtId="0" fontId="1" fillId="35" borderId="4" xfId="0" applyFont="1" applyFill="1" applyBorder="1" applyAlignment="1">
      <alignment wrapText="1"/>
    </xf>
    <xf numFmtId="0" fontId="1" fillId="20" borderId="4" xfId="0" applyFont="1" applyFill="1" applyBorder="1" applyAlignment="1">
      <alignment wrapText="1"/>
    </xf>
    <xf numFmtId="17" fontId="0" fillId="35" borderId="4" xfId="0" applyNumberFormat="1" applyFill="1" applyBorder="1" applyAlignment="1">
      <alignment wrapText="1"/>
    </xf>
    <xf numFmtId="17" fontId="0" fillId="4" borderId="4" xfId="0" applyNumberFormat="1" applyFill="1" applyBorder="1" applyAlignment="1">
      <alignment wrapText="1"/>
    </xf>
    <xf numFmtId="0" fontId="0" fillId="38" borderId="4" xfId="0" applyFill="1" applyBorder="1" applyAlignment="1">
      <alignment wrapText="1"/>
    </xf>
    <xf numFmtId="164" fontId="0" fillId="38" borderId="4" xfId="0" applyNumberFormat="1" applyFill="1" applyBorder="1" applyAlignment="1">
      <alignment wrapText="1"/>
    </xf>
    <xf numFmtId="164" fontId="1" fillId="38" borderId="4" xfId="0" applyNumberFormat="1" applyFont="1" applyFill="1" applyBorder="1" applyAlignment="1">
      <alignment wrapText="1"/>
    </xf>
    <xf numFmtId="0" fontId="0" fillId="39" borderId="4" xfId="0" applyFill="1" applyBorder="1" applyAlignment="1">
      <alignment wrapText="1"/>
    </xf>
    <xf numFmtId="164" fontId="0" fillId="39" borderId="4" xfId="0" applyNumberFormat="1" applyFill="1" applyBorder="1" applyAlignment="1">
      <alignment wrapText="1"/>
    </xf>
    <xf numFmtId="164" fontId="1" fillId="39" borderId="4" xfId="0" applyNumberFormat="1" applyFont="1" applyFill="1" applyBorder="1" applyAlignment="1">
      <alignment wrapText="1"/>
    </xf>
    <xf numFmtId="0" fontId="1" fillId="6" borderId="4" xfId="0" applyFont="1" applyFill="1" applyBorder="1" applyAlignment="1">
      <alignment wrapText="1"/>
    </xf>
    <xf numFmtId="9" fontId="1" fillId="38" borderId="4" xfId="0" applyNumberFormat="1" applyFont="1" applyFill="1" applyBorder="1" applyAlignment="1">
      <alignment wrapText="1"/>
    </xf>
    <xf numFmtId="9" fontId="1" fillId="39" borderId="4" xfId="0" applyNumberFormat="1" applyFont="1" applyFill="1" applyBorder="1" applyAlignment="1">
      <alignment wrapText="1"/>
    </xf>
    <xf numFmtId="164" fontId="8" fillId="5" borderId="0" xfId="0" applyNumberFormat="1" applyFont="1" applyFill="1" applyAlignment="1">
      <alignment wrapText="1"/>
    </xf>
    <xf numFmtId="164" fontId="8" fillId="34" borderId="0" xfId="0" applyNumberFormat="1" applyFont="1" applyFill="1" applyAlignment="1">
      <alignment wrapText="1"/>
    </xf>
    <xf numFmtId="164" fontId="0" fillId="0" borderId="0" xfId="0" applyNumberFormat="1"/>
    <xf numFmtId="0" fontId="12" fillId="40" borderId="0" xfId="0" applyFont="1" applyFill="1"/>
    <xf numFmtId="0" fontId="0" fillId="46" borderId="0" xfId="0" applyFill="1"/>
    <xf numFmtId="0" fontId="13" fillId="46" borderId="0" xfId="0" applyFont="1" applyFill="1"/>
    <xf numFmtId="0" fontId="0" fillId="47" borderId="0" xfId="0" applyFill="1"/>
    <xf numFmtId="0" fontId="13" fillId="47" borderId="0" xfId="0" applyFont="1" applyFill="1"/>
    <xf numFmtId="0" fontId="0" fillId="38" borderId="4" xfId="0" applyFill="1" applyBorder="1"/>
    <xf numFmtId="164" fontId="0" fillId="38" borderId="4" xfId="0" applyNumberFormat="1" applyFill="1" applyBorder="1"/>
    <xf numFmtId="164" fontId="1" fillId="38" borderId="4" xfId="0" applyNumberFormat="1" applyFont="1" applyFill="1" applyBorder="1"/>
    <xf numFmtId="0" fontId="0" fillId="45" borderId="4" xfId="0" applyFill="1" applyBorder="1"/>
    <xf numFmtId="164" fontId="0" fillId="45" borderId="4" xfId="0" applyNumberFormat="1" applyFill="1" applyBorder="1"/>
    <xf numFmtId="164" fontId="1" fillId="45" borderId="4" xfId="0" applyNumberFormat="1" applyFont="1" applyFill="1" applyBorder="1"/>
    <xf numFmtId="0" fontId="12" fillId="6" borderId="4" xfId="0" applyFont="1" applyFill="1" applyBorder="1"/>
    <xf numFmtId="9" fontId="0" fillId="38" borderId="4" xfId="0" applyNumberFormat="1" applyFill="1" applyBorder="1"/>
    <xf numFmtId="9" fontId="0" fillId="45" borderId="4" xfId="0" applyNumberFormat="1" applyFill="1" applyBorder="1"/>
    <xf numFmtId="164" fontId="0" fillId="18" borderId="4" xfId="0" applyNumberFormat="1" applyFill="1" applyBorder="1"/>
    <xf numFmtId="164" fontId="0" fillId="37" borderId="4" xfId="0" applyNumberFormat="1" applyFill="1" applyBorder="1"/>
    <xf numFmtId="0" fontId="12" fillId="18" borderId="4" xfId="0" applyFont="1" applyFill="1" applyBorder="1"/>
    <xf numFmtId="164" fontId="5" fillId="15" borderId="4" xfId="0" applyNumberFormat="1" applyFont="1" applyFill="1" applyBorder="1"/>
    <xf numFmtId="0" fontId="0" fillId="18" borderId="4" xfId="0" applyFill="1" applyBorder="1"/>
    <xf numFmtId="0" fontId="0" fillId="37" borderId="4" xfId="0" applyFill="1" applyBorder="1"/>
    <xf numFmtId="0" fontId="5" fillId="15" borderId="4" xfId="0" applyFont="1" applyFill="1" applyBorder="1"/>
    <xf numFmtId="164" fontId="0" fillId="4" borderId="4" xfId="0" applyNumberFormat="1" applyFill="1" applyBorder="1"/>
    <xf numFmtId="164" fontId="1" fillId="4" borderId="4" xfId="0" applyNumberFormat="1" applyFont="1" applyFill="1" applyBorder="1"/>
    <xf numFmtId="0" fontId="0" fillId="35" borderId="4" xfId="0" applyFill="1" applyBorder="1"/>
    <xf numFmtId="164" fontId="0" fillId="35" borderId="4" xfId="0" applyNumberFormat="1" applyFill="1" applyBorder="1"/>
    <xf numFmtId="164" fontId="1" fillId="35" borderId="4" xfId="0" applyNumberFormat="1" applyFont="1" applyFill="1" applyBorder="1"/>
    <xf numFmtId="0" fontId="12" fillId="20" borderId="4" xfId="0" applyFont="1" applyFill="1" applyBorder="1"/>
    <xf numFmtId="17" fontId="0" fillId="35" borderId="4" xfId="0" applyNumberFormat="1" applyFill="1" applyBorder="1"/>
    <xf numFmtId="17" fontId="0" fillId="4" borderId="4" xfId="0" applyNumberFormat="1" applyFill="1" applyBorder="1"/>
    <xf numFmtId="0" fontId="5" fillId="9" borderId="0" xfId="0" applyFont="1" applyFill="1"/>
    <xf numFmtId="0" fontId="5" fillId="36" borderId="0" xfId="0" applyFont="1" applyFill="1"/>
    <xf numFmtId="0" fontId="5" fillId="2" borderId="0" xfId="0" applyFont="1" applyFill="1"/>
    <xf numFmtId="0" fontId="5" fillId="12" borderId="0" xfId="0" applyFont="1" applyFill="1"/>
    <xf numFmtId="0" fontId="11" fillId="7" borderId="0" xfId="0" applyFont="1" applyFill="1"/>
    <xf numFmtId="0" fontId="11" fillId="27" borderId="1" xfId="0" applyFont="1" applyFill="1" applyBorder="1" applyAlignment="1">
      <alignment horizontal="center"/>
    </xf>
    <xf numFmtId="164" fontId="2" fillId="44" borderId="3" xfId="0" applyNumberFormat="1" applyFont="1" applyFill="1" applyBorder="1" applyAlignment="1">
      <alignment horizontal="center"/>
    </xf>
    <xf numFmtId="0" fontId="2" fillId="44" borderId="2" xfId="0" applyFont="1" applyFill="1" applyBorder="1" applyAlignment="1">
      <alignment horizontal="center"/>
    </xf>
    <xf numFmtId="0" fontId="2" fillId="44" borderId="3" xfId="0" applyFont="1" applyFill="1" applyBorder="1" applyAlignment="1">
      <alignment horizontal="center"/>
    </xf>
    <xf numFmtId="9" fontId="2" fillId="44" borderId="3" xfId="0" applyNumberFormat="1" applyFont="1" applyFill="1" applyBorder="1" applyAlignment="1">
      <alignment horizontal="center"/>
    </xf>
    <xf numFmtId="0" fontId="2" fillId="44" borderId="5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10" fillId="23" borderId="0" xfId="0" applyFont="1" applyFill="1" applyAlignment="1">
      <alignment horizontal="center"/>
    </xf>
    <xf numFmtId="0" fontId="10" fillId="15" borderId="0" xfId="0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0" fontId="10" fillId="12" borderId="0" xfId="0" applyFont="1" applyFill="1" applyAlignment="1">
      <alignment horizontal="center"/>
    </xf>
    <xf numFmtId="0" fontId="10" fillId="36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4" fillId="3" borderId="0" xfId="0" applyFont="1" applyFill="1"/>
    <xf numFmtId="0" fontId="6" fillId="9" borderId="0" xfId="0" applyFont="1" applyFill="1" applyAlignment="1">
      <alignment horizontal="center" wrapText="1"/>
    </xf>
    <xf numFmtId="0" fontId="5" fillId="10" borderId="0" xfId="0" applyFont="1" applyFill="1" applyAlignment="1">
      <alignment wrapText="1"/>
    </xf>
    <xf numFmtId="0" fontId="6" fillId="12" borderId="0" xfId="0" applyFont="1" applyFill="1" applyAlignment="1">
      <alignment horizontal="center" wrapText="1"/>
    </xf>
    <xf numFmtId="0" fontId="5" fillId="13" borderId="0" xfId="0" applyFont="1" applyFill="1" applyAlignment="1">
      <alignment wrapText="1"/>
    </xf>
    <xf numFmtId="0" fontId="6" fillId="15" borderId="0" xfId="0" applyFont="1" applyFill="1" applyAlignment="1">
      <alignment horizontal="center" wrapText="1"/>
    </xf>
    <xf numFmtId="0" fontId="5" fillId="16" borderId="0" xfId="0" applyFont="1" applyFill="1" applyAlignment="1">
      <alignment wrapText="1"/>
    </xf>
    <xf numFmtId="0" fontId="6" fillId="19" borderId="0" xfId="0" applyFont="1" applyFill="1" applyAlignment="1">
      <alignment horizontal="center" wrapText="1"/>
    </xf>
    <xf numFmtId="0" fontId="5" fillId="3" borderId="0" xfId="0" applyFont="1" applyFill="1" applyAlignment="1">
      <alignment wrapText="1"/>
    </xf>
    <xf numFmtId="0" fontId="6" fillId="21" borderId="0" xfId="0" applyFont="1" applyFill="1" applyAlignment="1">
      <alignment horizontal="center" wrapText="1"/>
    </xf>
    <xf numFmtId="0" fontId="5" fillId="15" borderId="0" xfId="0" applyFont="1" applyFill="1" applyAlignment="1">
      <alignment wrapText="1"/>
    </xf>
    <xf numFmtId="0" fontId="6" fillId="22" borderId="0" xfId="0" applyFont="1" applyFill="1" applyAlignment="1">
      <alignment horizontal="center" wrapText="1"/>
    </xf>
    <xf numFmtId="0" fontId="5" fillId="23" borderId="0" xfId="0" applyFont="1" applyFill="1" applyAlignment="1">
      <alignment wrapText="1"/>
    </xf>
    <xf numFmtId="0" fontId="5" fillId="12" borderId="0" xfId="0" applyFont="1" applyFill="1" applyAlignment="1">
      <alignment wrapText="1"/>
    </xf>
    <xf numFmtId="0" fontId="6" fillId="25" borderId="0" xfId="0" applyFont="1" applyFill="1" applyAlignment="1">
      <alignment horizontal="center" wrapText="1"/>
    </xf>
    <xf numFmtId="0" fontId="5" fillId="26" borderId="0" xfId="0" applyFont="1" applyFill="1" applyAlignment="1">
      <alignment wrapText="1"/>
    </xf>
    <xf numFmtId="0" fontId="6" fillId="28" borderId="0" xfId="0" applyFont="1" applyFill="1" applyAlignment="1">
      <alignment horizontal="center" wrapText="1"/>
    </xf>
    <xf numFmtId="0" fontId="5" fillId="29" borderId="0" xfId="0" applyFont="1" applyFill="1" applyAlignment="1">
      <alignment wrapText="1"/>
    </xf>
    <xf numFmtId="0" fontId="6" fillId="31" borderId="0" xfId="0" applyFont="1" applyFill="1" applyAlignment="1">
      <alignment horizontal="center" wrapText="1"/>
    </xf>
    <xf numFmtId="0" fontId="5" fillId="32" borderId="0" xfId="0" applyFont="1" applyFill="1" applyAlignment="1">
      <alignment wrapText="1"/>
    </xf>
    <xf numFmtId="0" fontId="5" fillId="2" borderId="0" xfId="0" applyFont="1" applyFill="1" applyAlignment="1">
      <alignment wrapText="1"/>
    </xf>
    <xf numFmtId="0" fontId="5" fillId="36" borderId="0" xfId="0" applyFont="1" applyFill="1" applyAlignment="1">
      <alignment wrapText="1"/>
    </xf>
    <xf numFmtId="0" fontId="5" fillId="9" borderId="0" xfId="0" applyFont="1" applyFill="1" applyAlignment="1">
      <alignment wrapText="1"/>
    </xf>
    <xf numFmtId="0" fontId="5" fillId="7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Ingresos vs EBITDA por Año (MXN)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'📊 Dashboard'!$B$9</c:f>
              <c:strCache>
                <c:ptCount val="1"/>
                <c:pt idx="0">
                  <c:v>Clientes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'📊 Dashboard'!$A$10:$A$14</c:f>
              <c:strCache>
                <c:ptCount val="5"/>
                <c:pt idx="0">
                  <c:v>Año 1 (2025)</c:v>
                </c:pt>
                <c:pt idx="1">
                  <c:v>Año 2 (2026)</c:v>
                </c:pt>
                <c:pt idx="2">
                  <c:v>Año 3 (2027)</c:v>
                </c:pt>
                <c:pt idx="3">
                  <c:v>Año 4 (2028)</c:v>
                </c:pt>
                <c:pt idx="4">
                  <c:v>Año 5 (2029)</c:v>
                </c:pt>
              </c:strCache>
            </c:strRef>
          </c:cat>
          <c:val>
            <c:numRef>
              <c:f>'📊 Dashboard'!$B$10:$B$14</c:f>
              <c:numCache>
                <c:formatCode>General</c:formatCode>
                <c:ptCount val="5"/>
                <c:pt idx="0">
                  <c:v>5</c:v>
                </c:pt>
                <c:pt idx="1">
                  <c:v>15</c:v>
                </c:pt>
                <c:pt idx="2">
                  <c:v>30</c:v>
                </c:pt>
                <c:pt idx="3">
                  <c:v>50</c:v>
                </c:pt>
                <c:pt idx="4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E9-46B9-86AE-A2F27AC01395}"/>
            </c:ext>
          </c:extLst>
        </c:ser>
        <c:ser>
          <c:idx val="1"/>
          <c:order val="1"/>
          <c:tx>
            <c:strRef>
              <c:f>'📊 Dashboard'!$C$9</c:f>
              <c:strCache>
                <c:ptCount val="1"/>
                <c:pt idx="0">
                  <c:v>Ing. Proyectos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'📊 Dashboard'!$A$10:$A$14</c:f>
              <c:strCache>
                <c:ptCount val="5"/>
                <c:pt idx="0">
                  <c:v>Año 1 (2025)</c:v>
                </c:pt>
                <c:pt idx="1">
                  <c:v>Año 2 (2026)</c:v>
                </c:pt>
                <c:pt idx="2">
                  <c:v>Año 3 (2027)</c:v>
                </c:pt>
                <c:pt idx="3">
                  <c:v>Año 4 (2028)</c:v>
                </c:pt>
                <c:pt idx="4">
                  <c:v>Año 5 (2029)</c:v>
                </c:pt>
              </c:strCache>
            </c:strRef>
          </c:cat>
          <c:val>
            <c:numRef>
              <c:f>'📊 Dashboard'!$C$10:$C$14</c:f>
              <c:numCache>
                <c:formatCode>"$"#,##0</c:formatCode>
                <c:ptCount val="5"/>
                <c:pt idx="0">
                  <c:v>682500</c:v>
                </c:pt>
                <c:pt idx="1">
                  <c:v>1470000</c:v>
                </c:pt>
                <c:pt idx="2">
                  <c:v>2205000</c:v>
                </c:pt>
                <c:pt idx="3">
                  <c:v>2940000</c:v>
                </c:pt>
                <c:pt idx="4">
                  <c:v>3675000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E9-46B9-86AE-A2F27AC01395}"/>
            </c:ext>
          </c:extLst>
        </c:ser>
        <c:ser>
          <c:idx val="2"/>
          <c:order val="2"/>
          <c:tx>
            <c:strRef>
              <c:f>'📊 Dashboard'!$D$9</c:f>
              <c:strCache>
                <c:ptCount val="1"/>
                <c:pt idx="0">
                  <c:v>Ing. Recurrente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'📊 Dashboard'!$A$10:$A$14</c:f>
              <c:strCache>
                <c:ptCount val="5"/>
                <c:pt idx="0">
                  <c:v>Año 1 (2025)</c:v>
                </c:pt>
                <c:pt idx="1">
                  <c:v>Año 2 (2026)</c:v>
                </c:pt>
                <c:pt idx="2">
                  <c:v>Año 3 (2027)</c:v>
                </c:pt>
                <c:pt idx="3">
                  <c:v>Año 4 (2028)</c:v>
                </c:pt>
                <c:pt idx="4">
                  <c:v>Año 5 (2029)</c:v>
                </c:pt>
              </c:strCache>
            </c:strRef>
          </c:cat>
          <c:val>
            <c:numRef>
              <c:f>'📊 Dashboard'!$D$10:$D$14</c:f>
              <c:numCache>
                <c:formatCode>"$"#,##0</c:formatCode>
                <c:ptCount val="5"/>
                <c:pt idx="0">
                  <c:v>330750</c:v>
                </c:pt>
                <c:pt idx="1">
                  <c:v>1323000</c:v>
                </c:pt>
                <c:pt idx="2">
                  <c:v>3402000</c:v>
                </c:pt>
                <c:pt idx="3">
                  <c:v>6237000</c:v>
                </c:pt>
                <c:pt idx="4">
                  <c:v>10206000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E9-46B9-86AE-A2F27AC01395}"/>
            </c:ext>
          </c:extLst>
        </c:ser>
        <c:ser>
          <c:idx val="3"/>
          <c:order val="3"/>
          <c:tx>
            <c:strRef>
              <c:f>'📊 Dashboard'!$E$9</c:f>
              <c:strCache>
                <c:ptCount val="1"/>
                <c:pt idx="0">
                  <c:v>Total Ingresos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'📊 Dashboard'!$A$10:$A$14</c:f>
              <c:strCache>
                <c:ptCount val="5"/>
                <c:pt idx="0">
                  <c:v>Año 1 (2025)</c:v>
                </c:pt>
                <c:pt idx="1">
                  <c:v>Año 2 (2026)</c:v>
                </c:pt>
                <c:pt idx="2">
                  <c:v>Año 3 (2027)</c:v>
                </c:pt>
                <c:pt idx="3">
                  <c:v>Año 4 (2028)</c:v>
                </c:pt>
                <c:pt idx="4">
                  <c:v>Año 5 (2029)</c:v>
                </c:pt>
              </c:strCache>
            </c:strRef>
          </c:cat>
          <c:val>
            <c:numRef>
              <c:f>'📊 Dashboard'!$E$10:$E$14</c:f>
              <c:numCache>
                <c:formatCode>"$"#,##0</c:formatCode>
                <c:ptCount val="5"/>
                <c:pt idx="0">
                  <c:v>1013250</c:v>
                </c:pt>
                <c:pt idx="1">
                  <c:v>2793000</c:v>
                </c:pt>
                <c:pt idx="2">
                  <c:v>5607000</c:v>
                </c:pt>
                <c:pt idx="3">
                  <c:v>9177000</c:v>
                </c:pt>
                <c:pt idx="4">
                  <c:v>13881000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E9-46B9-86AE-A2F27AC01395}"/>
            </c:ext>
          </c:extLst>
        </c:ser>
        <c:ser>
          <c:idx val="4"/>
          <c:order val="4"/>
          <c:tx>
            <c:strRef>
              <c:f>'📊 Dashboard'!$F$9</c:f>
              <c:strCache>
                <c:ptCount val="1"/>
                <c:pt idx="0">
                  <c:v>Costos Totales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'📊 Dashboard'!$A$10:$A$14</c:f>
              <c:strCache>
                <c:ptCount val="5"/>
                <c:pt idx="0">
                  <c:v>Año 1 (2025)</c:v>
                </c:pt>
                <c:pt idx="1">
                  <c:v>Año 2 (2026)</c:v>
                </c:pt>
                <c:pt idx="2">
                  <c:v>Año 3 (2027)</c:v>
                </c:pt>
                <c:pt idx="3">
                  <c:v>Año 4 (2028)</c:v>
                </c:pt>
                <c:pt idx="4">
                  <c:v>Año 5 (2029)</c:v>
                </c:pt>
              </c:strCache>
            </c:strRef>
          </c:cat>
          <c:val>
            <c:numRef>
              <c:f>'📊 Dashboard'!$F$10:$F$14</c:f>
              <c:numCache>
                <c:formatCode>"$"#,##0</c:formatCode>
                <c:ptCount val="5"/>
                <c:pt idx="0">
                  <c:v>88200</c:v>
                </c:pt>
                <c:pt idx="1">
                  <c:v>540330</c:v>
                </c:pt>
                <c:pt idx="2">
                  <c:v>1159830</c:v>
                </c:pt>
                <c:pt idx="3">
                  <c:v>2216130</c:v>
                </c:pt>
                <c:pt idx="4">
                  <c:v>3792600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E9-46B9-86AE-A2F27AC01395}"/>
            </c:ext>
          </c:extLst>
        </c:ser>
        <c:ser>
          <c:idx val="5"/>
          <c:order val="5"/>
          <c:tx>
            <c:strRef>
              <c:f>'📊 Dashboard'!$G$9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'📊 Dashboard'!$A$10:$A$14</c:f>
              <c:strCache>
                <c:ptCount val="5"/>
                <c:pt idx="0">
                  <c:v>Año 1 (2025)</c:v>
                </c:pt>
                <c:pt idx="1">
                  <c:v>Año 2 (2026)</c:v>
                </c:pt>
                <c:pt idx="2">
                  <c:v>Año 3 (2027)</c:v>
                </c:pt>
                <c:pt idx="3">
                  <c:v>Año 4 (2028)</c:v>
                </c:pt>
                <c:pt idx="4">
                  <c:v>Año 5 (2029)</c:v>
                </c:pt>
              </c:strCache>
            </c:strRef>
          </c:cat>
          <c:val>
            <c:numRef>
              <c:f>'📊 Dashboard'!$G$10:$G$14</c:f>
              <c:numCache>
                <c:formatCode>"$"#,##0</c:formatCode>
                <c:ptCount val="5"/>
                <c:pt idx="0">
                  <c:v>925050</c:v>
                </c:pt>
                <c:pt idx="1">
                  <c:v>2252670</c:v>
                </c:pt>
                <c:pt idx="2">
                  <c:v>4447170</c:v>
                </c:pt>
                <c:pt idx="3">
                  <c:v>6960870</c:v>
                </c:pt>
                <c:pt idx="4">
                  <c:v>10088400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AE9-46B9-86AE-A2F27AC01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4436144"/>
        <c:axId val="654439056"/>
      </c:barChart>
      <c:catAx>
        <c:axId val="654436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54439056"/>
        <c:crosses val="autoZero"/>
        <c:auto val="1"/>
        <c:lblAlgn val="ctr"/>
        <c:lblOffset val="100"/>
        <c:noMultiLvlLbl val="0"/>
      </c:catAx>
      <c:valAx>
        <c:axId val="65443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54436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9F9F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Evolución del MRR Mensual — 24 Meses (MXN)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'📊 Dashboard'!$R$1</c:f>
              <c:strCache>
                <c:ptCount val="1"/>
                <c:pt idx="0">
                  <c:v>MRR (MXN)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'📊 Dashboard'!$R$2:$R$25</c:f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'📊 Dashboard'!$Q$2:$Q$25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4EA-44FD-A1CC-BD089EBFA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322496"/>
        <c:axId val="96322080"/>
      </c:lineChart>
      <c:catAx>
        <c:axId val="96322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6322080"/>
        <c:crosses val="autoZero"/>
        <c:auto val="1"/>
        <c:lblAlgn val="ctr"/>
        <c:lblOffset val="100"/>
        <c:noMultiLvlLbl val="0"/>
      </c:catAx>
      <c:valAx>
        <c:axId val="9632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6322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9F9F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Margen EBITDA por Año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'📊 Dashboard'!$T$1</c:f>
              <c:strCache>
                <c:ptCount val="1"/>
                <c:pt idx="0">
                  <c:v>Margen EBITDA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'📊 Dashboard'!$T$2:$T$6</c:f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'📊 Dashboard'!$S$2:$S$6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218C-489D-9942-A01FB2834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324992"/>
        <c:axId val="96323744"/>
      </c:lineChart>
      <c:catAx>
        <c:axId val="9632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6323744"/>
        <c:crosses val="autoZero"/>
        <c:auto val="1"/>
        <c:lblAlgn val="ctr"/>
        <c:lblOffset val="100"/>
        <c:noMultiLvlLbl val="0"/>
      </c:catAx>
      <c:valAx>
        <c:axId val="9632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6324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9F9F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Proyección Financiera a 5 Años (Pesos Mexicanos)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'10. Proyecciones Financieras'!$K$1</c:f>
              <c:strCache>
                <c:ptCount val="1"/>
                <c:pt idx="0">
                  <c:v>Total Ingresos (MXN)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'10. Proyecciones Financieras'!$J$2:$J$6</c:f>
              <c:strCache>
                <c:ptCount val="5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  <c:pt idx="3">
                  <c:v>Año 4</c:v>
                </c:pt>
                <c:pt idx="4">
                  <c:v>Año 5</c:v>
                </c:pt>
              </c:strCache>
            </c:strRef>
          </c:cat>
          <c:val>
            <c:numRef>
              <c:f>'10. Proyecciones Financieras'!$K$2:$K$6</c:f>
              <c:numCache>
                <c:formatCode>"$"#,##0</c:formatCode>
                <c:ptCount val="5"/>
                <c:pt idx="0">
                  <c:v>1013250</c:v>
                </c:pt>
                <c:pt idx="1">
                  <c:v>2793000</c:v>
                </c:pt>
                <c:pt idx="2">
                  <c:v>5607000</c:v>
                </c:pt>
                <c:pt idx="3">
                  <c:v>9177000</c:v>
                </c:pt>
                <c:pt idx="4">
                  <c:v>13881000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A2-4FB8-B2EF-76852766F76C}"/>
            </c:ext>
          </c:extLst>
        </c:ser>
        <c:ser>
          <c:idx val="1"/>
          <c:order val="1"/>
          <c:tx>
            <c:strRef>
              <c:f>'10. Proyecciones Financieras'!$L$1</c:f>
              <c:strCache>
                <c:ptCount val="1"/>
                <c:pt idx="0">
                  <c:v>Costos (MXN)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'10. Proyecciones Financieras'!$J$2:$J$6</c:f>
              <c:strCache>
                <c:ptCount val="5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  <c:pt idx="3">
                  <c:v>Año 4</c:v>
                </c:pt>
                <c:pt idx="4">
                  <c:v>Año 5</c:v>
                </c:pt>
              </c:strCache>
            </c:strRef>
          </c:cat>
          <c:val>
            <c:numRef>
              <c:f>'10. Proyecciones Financieras'!$L$2:$L$6</c:f>
              <c:numCache>
                <c:formatCode>"$"#,##0</c:formatCode>
                <c:ptCount val="5"/>
                <c:pt idx="0">
                  <c:v>88200</c:v>
                </c:pt>
                <c:pt idx="1">
                  <c:v>540330</c:v>
                </c:pt>
                <c:pt idx="2">
                  <c:v>1159830</c:v>
                </c:pt>
                <c:pt idx="3">
                  <c:v>2216130</c:v>
                </c:pt>
                <c:pt idx="4">
                  <c:v>3792600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A2-4FB8-B2EF-76852766F76C}"/>
            </c:ext>
          </c:extLst>
        </c:ser>
        <c:ser>
          <c:idx val="2"/>
          <c:order val="2"/>
          <c:tx>
            <c:strRef>
              <c:f>'10. Proyecciones Financieras'!$M$1</c:f>
              <c:strCache>
                <c:ptCount val="1"/>
                <c:pt idx="0">
                  <c:v>EBITDA (MXN)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'10. Proyecciones Financieras'!$J$2:$J$6</c:f>
              <c:strCache>
                <c:ptCount val="5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  <c:pt idx="3">
                  <c:v>Año 4</c:v>
                </c:pt>
                <c:pt idx="4">
                  <c:v>Año 5</c:v>
                </c:pt>
              </c:strCache>
            </c:strRef>
          </c:cat>
          <c:val>
            <c:numRef>
              <c:f>'10. Proyecciones Financieras'!$M$2:$M$6</c:f>
              <c:numCache>
                <c:formatCode>"$"#,##0</c:formatCode>
                <c:ptCount val="5"/>
                <c:pt idx="0">
                  <c:v>925050</c:v>
                </c:pt>
                <c:pt idx="1">
                  <c:v>2252670</c:v>
                </c:pt>
                <c:pt idx="2">
                  <c:v>4447170</c:v>
                </c:pt>
                <c:pt idx="3">
                  <c:v>6960870</c:v>
                </c:pt>
                <c:pt idx="4">
                  <c:v>10088400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A2-4FB8-B2EF-76852766F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4829360"/>
        <c:axId val="654829776"/>
      </c:barChart>
      <c:catAx>
        <c:axId val="65482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54829776"/>
        <c:crosses val="autoZero"/>
        <c:auto val="1"/>
        <c:lblAlgn val="ctr"/>
        <c:lblOffset val="100"/>
        <c:noMultiLvlLbl val="0"/>
      </c:catAx>
      <c:valAx>
        <c:axId val="65482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5482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15</xdr:row>
      <xdr:rowOff>0</xdr:rowOff>
    </xdr:from>
    <xdr:to>
      <xdr:col>15</xdr:col>
      <xdr:colOff>0</xdr:colOff>
      <xdr:row>41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1D65F9F-B602-8A5D-7FB9-940691DFA8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8</xdr:col>
      <xdr:colOff>0</xdr:colOff>
      <xdr:row>60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9FF6BAF-120B-5283-EA53-5241C20198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42</xdr:row>
      <xdr:rowOff>0</xdr:rowOff>
    </xdr:from>
    <xdr:to>
      <xdr:col>15</xdr:col>
      <xdr:colOff>0</xdr:colOff>
      <xdr:row>60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4DA0867-8DEA-1DEC-4DA0-30D50ABD9F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67</xdr:row>
      <xdr:rowOff>0</xdr:rowOff>
    </xdr:from>
    <xdr:to>
      <xdr:col>8</xdr:col>
      <xdr:colOff>0</xdr:colOff>
      <xdr:row>87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E1448F9-5485-4ED1-B014-D5234E4FD1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F4B834F-EB05-4E78-83FE-D14ED4D988B0}">
  <we:reference id="wa200009404" version="1.0.0.8" store="es-ES" storeType="OMEX"/>
  <we:alternateReferences>
    <we:reference id="wa200009404" version="1.0.0.8" store="WA200009404" storeType="OMEX"/>
  </we:alternateReferences>
  <we:properties>
    <we:property name="claude.fileId" value="&quot;7a9cc7b4-b985-4cea-a112-aee9447d309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902DB-5303-4A12-AFEC-0D3587BCB852}">
  <sheetPr>
    <tabColor rgb="FF1F4E79"/>
  </sheetPr>
  <dimension ref="A1:T67"/>
  <sheetViews>
    <sheetView topLeftCell="H17" workbookViewId="0">
      <selection activeCell="K16" sqref="K16"/>
    </sheetView>
  </sheetViews>
  <sheetFormatPr baseColWidth="10" defaultRowHeight="15" x14ac:dyDescent="0.25"/>
  <cols>
    <col min="1" max="1" width="16.7109375" customWidth="1"/>
    <col min="2" max="2" width="9.7109375" customWidth="1"/>
    <col min="3" max="4" width="22.28515625" customWidth="1"/>
    <col min="5" max="5" width="23.140625" customWidth="1"/>
    <col min="6" max="6" width="24.140625" customWidth="1"/>
    <col min="7" max="7" width="22.28515625" customWidth="1"/>
    <col min="8" max="8" width="11.140625" customWidth="1"/>
    <col min="9" max="9" width="2.28515625" customWidth="1"/>
    <col min="10" max="10" width="28.7109375" customWidth="1"/>
    <col min="11" max="15" width="18.5703125" customWidth="1"/>
    <col min="17" max="20" width="0" hidden="1" customWidth="1"/>
  </cols>
  <sheetData>
    <row r="1" spans="1:20" ht="37.9" customHeight="1" x14ac:dyDescent="0.35">
      <c r="A1" s="105" t="s">
        <v>938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Q1" t="s">
        <v>661</v>
      </c>
      <c r="R1" t="s">
        <v>908</v>
      </c>
      <c r="S1" t="s">
        <v>645</v>
      </c>
      <c r="T1" t="s">
        <v>683</v>
      </c>
    </row>
    <row r="2" spans="1:20" ht="19.899999999999999" customHeight="1" x14ac:dyDescent="0.25">
      <c r="A2" s="106" t="s">
        <v>939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Q2" t="str">
        <f t="shared" ref="Q2:Q25" si="0">A18</f>
        <v>Ene 2025</v>
      </c>
      <c r="R2" s="64">
        <f t="shared" ref="R2:R25" si="1">H18</f>
        <v>7875</v>
      </c>
      <c r="S2" t="str">
        <f>A10</f>
        <v>Año 1 (2025)</v>
      </c>
      <c r="T2" s="29">
        <f>H10</f>
        <v>0.91</v>
      </c>
    </row>
    <row r="3" spans="1:20" ht="10.15" customHeight="1" x14ac:dyDescent="0.25">
      <c r="Q3">
        <f t="shared" si="0"/>
        <v>45689</v>
      </c>
      <c r="R3" s="64">
        <f t="shared" si="1"/>
        <v>7875</v>
      </c>
      <c r="S3" t="str">
        <f>A11</f>
        <v>Año 2 (2026)</v>
      </c>
      <c r="T3" s="29">
        <f>H11</f>
        <v>0.81</v>
      </c>
    </row>
    <row r="4" spans="1:20" ht="22.15" customHeight="1" x14ac:dyDescent="0.25">
      <c r="A4" s="107" t="s">
        <v>940</v>
      </c>
      <c r="B4" s="107"/>
      <c r="C4" s="108" t="s">
        <v>941</v>
      </c>
      <c r="D4" s="108"/>
      <c r="E4" s="109" t="s">
        <v>942</v>
      </c>
      <c r="F4" s="109"/>
      <c r="G4" s="110" t="s">
        <v>943</v>
      </c>
      <c r="H4" s="110"/>
      <c r="I4" s="111" t="s">
        <v>944</v>
      </c>
      <c r="J4" s="111"/>
      <c r="K4" s="112" t="s">
        <v>945</v>
      </c>
      <c r="L4" s="112"/>
      <c r="Q4">
        <f t="shared" si="0"/>
        <v>45717</v>
      </c>
      <c r="R4" s="64">
        <f t="shared" si="1"/>
        <v>15750</v>
      </c>
      <c r="S4" t="str">
        <f>A12</f>
        <v>Año 3 (2027)</v>
      </c>
      <c r="T4" s="29">
        <f>H12</f>
        <v>0.79</v>
      </c>
    </row>
    <row r="5" spans="1:20" ht="36" customHeight="1" x14ac:dyDescent="0.35">
      <c r="A5" s="100">
        <f>'10. Proyecciones Financieras'!E52</f>
        <v>1013250</v>
      </c>
      <c r="B5" s="101"/>
      <c r="C5" s="100">
        <f>'10. Proyecciones Financieras'!E56</f>
        <v>13881000</v>
      </c>
      <c r="D5" s="101"/>
      <c r="E5" s="102" t="str">
        <f>'10. Proyecciones Financieras'!B63</f>
        <v>~14 clientes activos con retainer</v>
      </c>
      <c r="F5" s="101"/>
      <c r="G5" s="102" t="s">
        <v>946</v>
      </c>
      <c r="H5" s="101"/>
      <c r="I5" s="102">
        <f>'10. Proyecciones Financieras'!B56</f>
        <v>75</v>
      </c>
      <c r="J5" s="101"/>
      <c r="K5" s="103">
        <f>'10. Proyecciones Financieras'!H56</f>
        <v>0.73</v>
      </c>
      <c r="L5" s="104"/>
      <c r="Q5" t="str">
        <f t="shared" si="0"/>
        <v>Abr 2025</v>
      </c>
      <c r="R5" s="64">
        <f t="shared" si="1"/>
        <v>23625</v>
      </c>
      <c r="S5" t="str">
        <f>A13</f>
        <v>Año 4 (2028)</v>
      </c>
      <c r="T5" s="29">
        <f>H13</f>
        <v>0.76</v>
      </c>
    </row>
    <row r="6" spans="1:20" ht="18" customHeight="1" x14ac:dyDescent="0.25">
      <c r="A6" s="99" t="s">
        <v>947</v>
      </c>
      <c r="B6" s="99"/>
      <c r="C6" s="99" t="s">
        <v>947</v>
      </c>
      <c r="D6" s="99"/>
      <c r="E6" s="99" t="s">
        <v>948</v>
      </c>
      <c r="F6" s="99"/>
      <c r="G6" s="99" t="s">
        <v>949</v>
      </c>
      <c r="H6" s="99"/>
      <c r="I6" s="99" t="s">
        <v>950</v>
      </c>
      <c r="J6" s="99"/>
      <c r="K6" s="99" t="s">
        <v>951</v>
      </c>
      <c r="L6" s="99"/>
      <c r="Q6">
        <f t="shared" si="0"/>
        <v>45778</v>
      </c>
      <c r="R6" s="64">
        <f t="shared" si="1"/>
        <v>31500</v>
      </c>
      <c r="S6" t="str">
        <f>A14</f>
        <v>Año 5 (2029)</v>
      </c>
      <c r="T6" s="29">
        <f>H14</f>
        <v>0.73</v>
      </c>
    </row>
    <row r="7" spans="1:20" ht="7.9" customHeight="1" x14ac:dyDescent="0.25">
      <c r="Q7">
        <f t="shared" si="0"/>
        <v>45809</v>
      </c>
      <c r="R7" s="64">
        <f t="shared" si="1"/>
        <v>39375</v>
      </c>
    </row>
    <row r="8" spans="1:20" ht="22.15" customHeight="1" x14ac:dyDescent="0.25">
      <c r="A8" s="94" t="s">
        <v>952</v>
      </c>
      <c r="B8" s="94"/>
      <c r="C8" s="94"/>
      <c r="D8" s="94"/>
      <c r="E8" s="94"/>
      <c r="F8" s="94"/>
      <c r="G8" s="94"/>
      <c r="H8" s="94"/>
      <c r="J8" s="95" t="s">
        <v>957</v>
      </c>
      <c r="K8" s="95"/>
      <c r="L8" s="95"/>
      <c r="M8" s="95"/>
      <c r="N8" s="95"/>
      <c r="O8" s="95"/>
      <c r="Q8">
        <f t="shared" si="0"/>
        <v>45839</v>
      </c>
      <c r="R8" s="64">
        <f t="shared" si="1"/>
        <v>55125</v>
      </c>
    </row>
    <row r="9" spans="1:20" ht="18" customHeight="1" x14ac:dyDescent="0.25">
      <c r="A9" s="76" t="s">
        <v>645</v>
      </c>
      <c r="B9" s="76" t="s">
        <v>444</v>
      </c>
      <c r="C9" s="76" t="s">
        <v>698</v>
      </c>
      <c r="D9" s="76" t="s">
        <v>699</v>
      </c>
      <c r="E9" s="76" t="s">
        <v>700</v>
      </c>
      <c r="F9" s="76" t="s">
        <v>953</v>
      </c>
      <c r="G9" s="76" t="s">
        <v>701</v>
      </c>
      <c r="H9" s="76" t="s">
        <v>954</v>
      </c>
      <c r="J9" s="81" t="s">
        <v>577</v>
      </c>
      <c r="K9" s="81" t="s">
        <v>23</v>
      </c>
      <c r="L9" s="81" t="s">
        <v>24</v>
      </c>
      <c r="M9" s="81" t="s">
        <v>25</v>
      </c>
      <c r="N9" s="81" t="s">
        <v>26</v>
      </c>
      <c r="O9" s="81" t="s">
        <v>27</v>
      </c>
      <c r="Q9" t="str">
        <f t="shared" si="0"/>
        <v>Ago 2025</v>
      </c>
      <c r="R9" s="64">
        <f t="shared" si="1"/>
        <v>63000</v>
      </c>
    </row>
    <row r="10" spans="1:20" ht="18" customHeight="1" x14ac:dyDescent="0.25">
      <c r="A10" s="70" t="str">
        <f>'10. Proyecciones Financieras'!A52</f>
        <v>Año 1 (2025)</v>
      </c>
      <c r="B10" s="70">
        <f>'10. Proyecciones Financieras'!B52</f>
        <v>5</v>
      </c>
      <c r="C10" s="71">
        <f>'10. Proyecciones Financieras'!C52</f>
        <v>682500</v>
      </c>
      <c r="D10" s="71">
        <f>'10. Proyecciones Financieras'!D52</f>
        <v>330750</v>
      </c>
      <c r="E10" s="71">
        <f>'10. Proyecciones Financieras'!E52</f>
        <v>1013250</v>
      </c>
      <c r="F10" s="71">
        <f>'10. Proyecciones Financieras'!F52</f>
        <v>88200</v>
      </c>
      <c r="G10" s="72">
        <f>'10. Proyecciones Financieras'!G52</f>
        <v>925050</v>
      </c>
      <c r="H10" s="77">
        <f>'10. Proyecciones Financieras'!H52</f>
        <v>0.91</v>
      </c>
      <c r="J10" s="83" t="str">
        <f>'10. Proyecciones Financieras'!A41</f>
        <v>Herramientas IA (APIs)</v>
      </c>
      <c r="K10" s="79">
        <f>'10. Proyecciones Financieras'!C41</f>
        <v>3500</v>
      </c>
      <c r="L10" s="79">
        <f>'10. Proyecciones Financieras'!D41</f>
        <v>7000</v>
      </c>
      <c r="M10" s="79">
        <f>'10. Proyecciones Financieras'!E41</f>
        <v>12250</v>
      </c>
      <c r="N10" s="79">
        <f>'10. Proyecciones Financieras'!F41</f>
        <v>21000</v>
      </c>
      <c r="O10" s="79">
        <f>'10. Proyecciones Financieras'!G41</f>
        <v>35000</v>
      </c>
      <c r="Q10">
        <f t="shared" si="0"/>
        <v>45901</v>
      </c>
      <c r="R10" s="64">
        <f t="shared" si="1"/>
        <v>78750</v>
      </c>
    </row>
    <row r="11" spans="1:20" ht="18" customHeight="1" x14ac:dyDescent="0.25">
      <c r="A11" s="73" t="str">
        <f>'10. Proyecciones Financieras'!A53</f>
        <v>Año 2 (2026)</v>
      </c>
      <c r="B11" s="73">
        <f>'10. Proyecciones Financieras'!B53</f>
        <v>15</v>
      </c>
      <c r="C11" s="74">
        <f>'10. Proyecciones Financieras'!C53</f>
        <v>1470000</v>
      </c>
      <c r="D11" s="74">
        <f>'10. Proyecciones Financieras'!D53</f>
        <v>1323000</v>
      </c>
      <c r="E11" s="74">
        <f>'10. Proyecciones Financieras'!E53</f>
        <v>2793000</v>
      </c>
      <c r="F11" s="74">
        <f>'10. Proyecciones Financieras'!F53</f>
        <v>540330</v>
      </c>
      <c r="G11" s="75">
        <f>'10. Proyecciones Financieras'!G53</f>
        <v>2252670</v>
      </c>
      <c r="H11" s="78">
        <f>'10. Proyecciones Financieras'!H53</f>
        <v>0.81</v>
      </c>
      <c r="J11" s="84" t="str">
        <f>'10. Proyecciones Financieras'!A42</f>
        <v>Herramientas operativas</v>
      </c>
      <c r="K11" s="80">
        <f>'10. Proyecciones Financieras'!C42</f>
        <v>875</v>
      </c>
      <c r="L11" s="80">
        <f>'10. Proyecciones Financieras'!D42</f>
        <v>1750</v>
      </c>
      <c r="M11" s="80">
        <f>'10. Proyecciones Financieras'!E42</f>
        <v>3500</v>
      </c>
      <c r="N11" s="80">
        <f>'10. Proyecciones Financieras'!F42</f>
        <v>6125</v>
      </c>
      <c r="O11" s="80">
        <f>'10. Proyecciones Financieras'!G42</f>
        <v>8750</v>
      </c>
      <c r="Q11">
        <f t="shared" si="0"/>
        <v>45931</v>
      </c>
      <c r="R11" s="64">
        <f t="shared" si="1"/>
        <v>86625</v>
      </c>
    </row>
    <row r="12" spans="1:20" ht="18" customHeight="1" x14ac:dyDescent="0.25">
      <c r="A12" s="70" t="str">
        <f>'10. Proyecciones Financieras'!A54</f>
        <v>Año 3 (2027)</v>
      </c>
      <c r="B12" s="70">
        <f>'10. Proyecciones Financieras'!B54</f>
        <v>30</v>
      </c>
      <c r="C12" s="71">
        <f>'10. Proyecciones Financieras'!C54</f>
        <v>2205000</v>
      </c>
      <c r="D12" s="71">
        <f>'10. Proyecciones Financieras'!D54</f>
        <v>3402000</v>
      </c>
      <c r="E12" s="71">
        <f>'10. Proyecciones Financieras'!E54</f>
        <v>5607000</v>
      </c>
      <c r="F12" s="71">
        <f>'10. Proyecciones Financieras'!F54</f>
        <v>1159830</v>
      </c>
      <c r="G12" s="72">
        <f>'10. Proyecciones Financieras'!G54</f>
        <v>4447170</v>
      </c>
      <c r="H12" s="77">
        <f>'10. Proyecciones Financieras'!H54</f>
        <v>0.79</v>
      </c>
      <c r="J12" s="83" t="str">
        <f>'10. Proyecciones Financieras'!A43</f>
        <v>Marketing digital</v>
      </c>
      <c r="K12" s="79">
        <f>'10. Proyecciones Financieras'!C43</f>
        <v>0</v>
      </c>
      <c r="L12" s="79">
        <f>'10. Proyecciones Financieras'!D43</f>
        <v>3500</v>
      </c>
      <c r="M12" s="79">
        <f>'10. Proyecciones Financieras'!E43</f>
        <v>8750</v>
      </c>
      <c r="N12" s="79">
        <f>'10. Proyecciones Financieras'!F43</f>
        <v>17500</v>
      </c>
      <c r="O12" s="79">
        <f>'10. Proyecciones Financieras'!G43</f>
        <v>35000</v>
      </c>
      <c r="Q12">
        <f t="shared" si="0"/>
        <v>45962</v>
      </c>
      <c r="R12" s="64">
        <f t="shared" si="1"/>
        <v>94500</v>
      </c>
    </row>
    <row r="13" spans="1:20" ht="18" customHeight="1" x14ac:dyDescent="0.25">
      <c r="A13" s="73" t="str">
        <f>'10. Proyecciones Financieras'!A55</f>
        <v>Año 4 (2028)</v>
      </c>
      <c r="B13" s="73">
        <f>'10. Proyecciones Financieras'!B55</f>
        <v>50</v>
      </c>
      <c r="C13" s="74">
        <f>'10. Proyecciones Financieras'!C55</f>
        <v>2940000</v>
      </c>
      <c r="D13" s="74">
        <f>'10. Proyecciones Financieras'!D55</f>
        <v>6237000</v>
      </c>
      <c r="E13" s="74">
        <f>'10. Proyecciones Financieras'!E55</f>
        <v>9177000</v>
      </c>
      <c r="F13" s="74">
        <f>'10. Proyecciones Financieras'!F55</f>
        <v>2216130</v>
      </c>
      <c r="G13" s="75">
        <f>'10. Proyecciones Financieras'!G55</f>
        <v>6960870</v>
      </c>
      <c r="H13" s="78">
        <f>'10. Proyecciones Financieras'!H55</f>
        <v>0.76</v>
      </c>
      <c r="J13" s="84" t="str">
        <f>'10. Proyecciones Financieras'!A44</f>
        <v>Nómina / Freelancers</v>
      </c>
      <c r="K13" s="80">
        <f>'10. Proyecciones Financieras'!C44</f>
        <v>0</v>
      </c>
      <c r="L13" s="80">
        <f>'10. Proyecciones Financieras'!D44</f>
        <v>26250</v>
      </c>
      <c r="M13" s="80">
        <f>'10. Proyecciones Financieras'!E44</f>
        <v>61250</v>
      </c>
      <c r="N13" s="80">
        <f>'10. Proyecciones Financieras'!F44</f>
        <v>122500</v>
      </c>
      <c r="O13" s="80">
        <f>'10. Proyecciones Financieras'!G44</f>
        <v>210000</v>
      </c>
      <c r="Q13" t="str">
        <f t="shared" si="0"/>
        <v>Dic 2025</v>
      </c>
      <c r="R13" s="64">
        <f t="shared" si="1"/>
        <v>110250</v>
      </c>
    </row>
    <row r="14" spans="1:20" ht="18" customHeight="1" x14ac:dyDescent="0.25">
      <c r="A14" s="70" t="str">
        <f>'10. Proyecciones Financieras'!A56</f>
        <v>Año 5 (2029)</v>
      </c>
      <c r="B14" s="70">
        <f>'10. Proyecciones Financieras'!B56</f>
        <v>75</v>
      </c>
      <c r="C14" s="71">
        <f>'10. Proyecciones Financieras'!C56</f>
        <v>3675000</v>
      </c>
      <c r="D14" s="71">
        <f>'10. Proyecciones Financieras'!D56</f>
        <v>10206000</v>
      </c>
      <c r="E14" s="71">
        <f>'10. Proyecciones Financieras'!E56</f>
        <v>13881000</v>
      </c>
      <c r="F14" s="71">
        <f>'10. Proyecciones Financieras'!F56</f>
        <v>3792600</v>
      </c>
      <c r="G14" s="72">
        <f>'10. Proyecciones Financieras'!G56</f>
        <v>10088400</v>
      </c>
      <c r="H14" s="77">
        <f>'10. Proyecciones Financieras'!H56</f>
        <v>0.73</v>
      </c>
      <c r="J14" s="83" t="str">
        <f>'10. Proyecciones Financieras'!A45</f>
        <v>Contabilidad / Legal</v>
      </c>
      <c r="K14" s="79">
        <f>'10. Proyecciones Financieras'!C45</f>
        <v>1750</v>
      </c>
      <c r="L14" s="79">
        <f>'10. Proyecciones Financieras'!D45</f>
        <v>2625</v>
      </c>
      <c r="M14" s="79">
        <f>'10. Proyecciones Financieras'!E45</f>
        <v>3500</v>
      </c>
      <c r="N14" s="79">
        <f>'10. Proyecciones Financieras'!F45</f>
        <v>5250</v>
      </c>
      <c r="O14" s="79">
        <f>'10. Proyecciones Financieras'!G45</f>
        <v>7000</v>
      </c>
      <c r="Q14" t="str">
        <f t="shared" si="0"/>
        <v>Ene 2026</v>
      </c>
      <c r="R14" s="64">
        <f t="shared" si="1"/>
        <v>126000</v>
      </c>
    </row>
    <row r="15" spans="1:20" ht="7.9" customHeight="1" x14ac:dyDescent="0.25">
      <c r="J15" s="84" t="str">
        <f>'10. Proyecciones Financieras'!A46</f>
        <v>Capacitación técnica</v>
      </c>
      <c r="K15" s="80">
        <f>'10. Proyecciones Financieras'!C46</f>
        <v>875</v>
      </c>
      <c r="L15" s="80">
        <f>'10. Proyecciones Financieras'!D46</f>
        <v>1750</v>
      </c>
      <c r="M15" s="80">
        <f>'10. Proyecciones Financieras'!E46</f>
        <v>2625</v>
      </c>
      <c r="N15" s="80">
        <f>'10. Proyecciones Financieras'!F46</f>
        <v>3500</v>
      </c>
      <c r="O15" s="80">
        <f>'10. Proyecciones Financieras'!G46</f>
        <v>5250</v>
      </c>
      <c r="Q15">
        <f t="shared" si="0"/>
        <v>46054</v>
      </c>
      <c r="R15" s="64">
        <f t="shared" si="1"/>
        <v>133875</v>
      </c>
    </row>
    <row r="16" spans="1:20" ht="22.15" customHeight="1" x14ac:dyDescent="0.25">
      <c r="A16" s="96" t="s">
        <v>955</v>
      </c>
      <c r="B16" s="96"/>
      <c r="C16" s="96"/>
      <c r="D16" s="96"/>
      <c r="E16" s="96"/>
      <c r="F16" s="96"/>
      <c r="G16" s="96"/>
      <c r="H16" s="96"/>
      <c r="J16" s="83" t="str">
        <f>'10. Proyecciones Financieras'!A47</f>
        <v>Contingencias (5%)</v>
      </c>
      <c r="K16" s="79">
        <f>'10. Proyecciones Financieras'!C47</f>
        <v>350</v>
      </c>
      <c r="L16" s="79">
        <f>'10. Proyecciones Financieras'!D47</f>
        <v>2152.5</v>
      </c>
      <c r="M16" s="79">
        <f>'10. Proyecciones Financieras'!E47</f>
        <v>4777.5</v>
      </c>
      <c r="N16" s="79">
        <f>'10. Proyecciones Financieras'!F47</f>
        <v>8802.5</v>
      </c>
      <c r="O16" s="79">
        <f>'10. Proyecciones Financieras'!G47</f>
        <v>15050</v>
      </c>
      <c r="Q16">
        <f t="shared" si="0"/>
        <v>46082</v>
      </c>
      <c r="R16" s="64">
        <f t="shared" si="1"/>
        <v>157500</v>
      </c>
    </row>
    <row r="17" spans="1:18" ht="18" customHeight="1" x14ac:dyDescent="0.25">
      <c r="A17" s="91" t="s">
        <v>661</v>
      </c>
      <c r="B17" s="91" t="s">
        <v>662</v>
      </c>
      <c r="C17" s="91" t="s">
        <v>663</v>
      </c>
      <c r="D17" s="91" t="s">
        <v>294</v>
      </c>
      <c r="E17" s="91" t="s">
        <v>698</v>
      </c>
      <c r="F17" s="91" t="s">
        <v>699</v>
      </c>
      <c r="G17" s="91" t="s">
        <v>700</v>
      </c>
      <c r="H17" s="91" t="s">
        <v>956</v>
      </c>
      <c r="J17" s="85" t="str">
        <f>'10. Proyecciones Financieras'!A48</f>
        <v>TOTAL COSTOS MENSUALES</v>
      </c>
      <c r="K17" s="82">
        <f>'10. Proyecciones Financieras'!C48</f>
        <v>7350</v>
      </c>
      <c r="L17" s="82">
        <f>'10. Proyecciones Financieras'!D48</f>
        <v>45027.5</v>
      </c>
      <c r="M17" s="82">
        <f>'10. Proyecciones Financieras'!E48</f>
        <v>96652.5</v>
      </c>
      <c r="N17" s="82">
        <f>'10. Proyecciones Financieras'!F48</f>
        <v>184677.5</v>
      </c>
      <c r="O17" s="82">
        <f>'10. Proyecciones Financieras'!G48</f>
        <v>316050</v>
      </c>
      <c r="Q17" t="str">
        <f t="shared" si="0"/>
        <v>Abr 2026</v>
      </c>
      <c r="R17" s="64">
        <f t="shared" si="1"/>
        <v>173250</v>
      </c>
    </row>
    <row r="18" spans="1:18" ht="16.899999999999999" customHeight="1" x14ac:dyDescent="0.25">
      <c r="A18" s="8" t="str">
        <f>'10. Proyecciones Financieras'!A14</f>
        <v>Ene 2025</v>
      </c>
      <c r="B18" s="8">
        <f>'10. Proyecciones Financieras'!B14</f>
        <v>1</v>
      </c>
      <c r="C18" s="8">
        <f>'10. Proyecciones Financieras'!C14</f>
        <v>1</v>
      </c>
      <c r="D18" s="8">
        <f>'10. Proyecciones Financieras'!D14</f>
        <v>1</v>
      </c>
      <c r="E18" s="86">
        <f>'10. Proyecciones Financieras'!E14</f>
        <v>43750</v>
      </c>
      <c r="F18" s="86">
        <f>'10. Proyecciones Financieras'!F14</f>
        <v>7875</v>
      </c>
      <c r="G18" s="87">
        <f>'10. Proyecciones Financieras'!G14</f>
        <v>51625</v>
      </c>
      <c r="H18" s="86">
        <f>'10. Proyecciones Financieras'!H14</f>
        <v>7875</v>
      </c>
      <c r="Q18">
        <f t="shared" si="0"/>
        <v>46143</v>
      </c>
      <c r="R18" s="64">
        <f t="shared" si="1"/>
        <v>196875</v>
      </c>
    </row>
    <row r="19" spans="1:18" ht="16.899999999999999" customHeight="1" x14ac:dyDescent="0.25">
      <c r="A19" s="92">
        <f>'10. Proyecciones Financieras'!A15</f>
        <v>45689</v>
      </c>
      <c r="B19" s="88">
        <f>'10. Proyecciones Financieras'!B15</f>
        <v>2</v>
      </c>
      <c r="C19" s="88">
        <f>'10. Proyecciones Financieras'!C15</f>
        <v>1</v>
      </c>
      <c r="D19" s="88">
        <f>'10. Proyecciones Financieras'!D15</f>
        <v>2</v>
      </c>
      <c r="E19" s="89">
        <f>'10. Proyecciones Financieras'!E15</f>
        <v>43750</v>
      </c>
      <c r="F19" s="89">
        <f>'10. Proyecciones Financieras'!F15</f>
        <v>7875</v>
      </c>
      <c r="G19" s="90">
        <f>'10. Proyecciones Financieras'!G15</f>
        <v>51625</v>
      </c>
      <c r="H19" s="89">
        <f>'10. Proyecciones Financieras'!H15</f>
        <v>7875</v>
      </c>
      <c r="Q19">
        <f t="shared" si="0"/>
        <v>46174</v>
      </c>
      <c r="R19" s="64">
        <f t="shared" si="1"/>
        <v>212625</v>
      </c>
    </row>
    <row r="20" spans="1:18" ht="16.899999999999999" customHeight="1" x14ac:dyDescent="0.25">
      <c r="A20" s="93">
        <f>'10. Proyecciones Financieras'!A16</f>
        <v>45717</v>
      </c>
      <c r="B20" s="8">
        <f>'10. Proyecciones Financieras'!B16</f>
        <v>3</v>
      </c>
      <c r="C20" s="8">
        <f>'10. Proyecciones Financieras'!C16</f>
        <v>1</v>
      </c>
      <c r="D20" s="8">
        <f>'10. Proyecciones Financieras'!D16</f>
        <v>3</v>
      </c>
      <c r="E20" s="86">
        <f>'10. Proyecciones Financieras'!E16</f>
        <v>43750</v>
      </c>
      <c r="F20" s="86">
        <f>'10. Proyecciones Financieras'!F16</f>
        <v>15750</v>
      </c>
      <c r="G20" s="87">
        <f>'10. Proyecciones Financieras'!G16</f>
        <v>59500</v>
      </c>
      <c r="H20" s="86">
        <f>'10. Proyecciones Financieras'!H16</f>
        <v>15750</v>
      </c>
      <c r="Q20">
        <f t="shared" si="0"/>
        <v>46204</v>
      </c>
      <c r="R20" s="64">
        <f t="shared" si="1"/>
        <v>228375</v>
      </c>
    </row>
    <row r="21" spans="1:18" ht="16.899999999999999" customHeight="1" x14ac:dyDescent="0.25">
      <c r="A21" s="88" t="str">
        <f>'10. Proyecciones Financieras'!A17</f>
        <v>Abr 2025</v>
      </c>
      <c r="B21" s="88">
        <f>'10. Proyecciones Financieras'!B17</f>
        <v>4</v>
      </c>
      <c r="C21" s="88">
        <f>'10. Proyecciones Financieras'!C17</f>
        <v>2</v>
      </c>
      <c r="D21" s="88">
        <f>'10. Proyecciones Financieras'!D17</f>
        <v>5</v>
      </c>
      <c r="E21" s="89">
        <f>'10. Proyecciones Financieras'!E17</f>
        <v>87500</v>
      </c>
      <c r="F21" s="89">
        <f>'10. Proyecciones Financieras'!F17</f>
        <v>23625</v>
      </c>
      <c r="G21" s="90">
        <f>'10. Proyecciones Financieras'!G17</f>
        <v>111125</v>
      </c>
      <c r="H21" s="89">
        <f>'10. Proyecciones Financieras'!H17</f>
        <v>23625</v>
      </c>
      <c r="Q21" t="str">
        <f t="shared" si="0"/>
        <v>Ago 2026</v>
      </c>
      <c r="R21" s="64">
        <f t="shared" si="1"/>
        <v>252000</v>
      </c>
    </row>
    <row r="22" spans="1:18" ht="16.899999999999999" customHeight="1" x14ac:dyDescent="0.25">
      <c r="A22" s="93">
        <f>'10. Proyecciones Financieras'!A18</f>
        <v>45778</v>
      </c>
      <c r="B22" s="8">
        <f>'10. Proyecciones Financieras'!B18</f>
        <v>5</v>
      </c>
      <c r="C22" s="8">
        <f>'10. Proyecciones Financieras'!C18</f>
        <v>2</v>
      </c>
      <c r="D22" s="8">
        <f>'10. Proyecciones Financieras'!D18</f>
        <v>7</v>
      </c>
      <c r="E22" s="86">
        <f>'10. Proyecciones Financieras'!E18</f>
        <v>87500</v>
      </c>
      <c r="F22" s="86">
        <f>'10. Proyecciones Financieras'!F18</f>
        <v>31500</v>
      </c>
      <c r="G22" s="87">
        <f>'10. Proyecciones Financieras'!G18</f>
        <v>119000</v>
      </c>
      <c r="H22" s="86">
        <f>'10. Proyecciones Financieras'!H18</f>
        <v>31500</v>
      </c>
      <c r="Q22">
        <f t="shared" si="0"/>
        <v>46266</v>
      </c>
      <c r="R22" s="64">
        <f t="shared" si="1"/>
        <v>275625</v>
      </c>
    </row>
    <row r="23" spans="1:18" ht="16.899999999999999" customHeight="1" x14ac:dyDescent="0.25">
      <c r="A23" s="92">
        <f>'10. Proyecciones Financieras'!A19</f>
        <v>45809</v>
      </c>
      <c r="B23" s="88">
        <f>'10. Proyecciones Financieras'!B19</f>
        <v>6</v>
      </c>
      <c r="C23" s="88">
        <f>'10. Proyecciones Financieras'!C19</f>
        <v>2</v>
      </c>
      <c r="D23" s="88">
        <f>'10. Proyecciones Financieras'!D19</f>
        <v>9</v>
      </c>
      <c r="E23" s="89">
        <f>'10. Proyecciones Financieras'!E19</f>
        <v>87500</v>
      </c>
      <c r="F23" s="89">
        <f>'10. Proyecciones Financieras'!F19</f>
        <v>39375</v>
      </c>
      <c r="G23" s="90">
        <f>'10. Proyecciones Financieras'!G19</f>
        <v>126875</v>
      </c>
      <c r="H23" s="89">
        <f>'10. Proyecciones Financieras'!H19</f>
        <v>39375</v>
      </c>
      <c r="Q23">
        <f t="shared" si="0"/>
        <v>46296</v>
      </c>
      <c r="R23" s="64">
        <f t="shared" si="1"/>
        <v>299250</v>
      </c>
    </row>
    <row r="24" spans="1:18" ht="16.899999999999999" customHeight="1" x14ac:dyDescent="0.25">
      <c r="A24" s="93">
        <f>'10. Proyecciones Financieras'!A20</f>
        <v>45839</v>
      </c>
      <c r="B24" s="8">
        <f>'10. Proyecciones Financieras'!B20</f>
        <v>7</v>
      </c>
      <c r="C24" s="8">
        <f>'10. Proyecciones Financieras'!C20</f>
        <v>2</v>
      </c>
      <c r="D24" s="8">
        <f>'10. Proyecciones Financieras'!D20</f>
        <v>11</v>
      </c>
      <c r="E24" s="86">
        <f>'10. Proyecciones Financieras'!E20</f>
        <v>87500</v>
      </c>
      <c r="F24" s="86">
        <f>'10. Proyecciones Financieras'!F20</f>
        <v>55125</v>
      </c>
      <c r="G24" s="87">
        <f>'10. Proyecciones Financieras'!G20</f>
        <v>142625</v>
      </c>
      <c r="H24" s="86">
        <f>'10. Proyecciones Financieras'!H20</f>
        <v>55125</v>
      </c>
      <c r="Q24">
        <f t="shared" si="0"/>
        <v>46327</v>
      </c>
      <c r="R24" s="64">
        <f t="shared" si="1"/>
        <v>322875</v>
      </c>
    </row>
    <row r="25" spans="1:18" ht="16.899999999999999" customHeight="1" x14ac:dyDescent="0.25">
      <c r="A25" s="88" t="str">
        <f>'10. Proyecciones Financieras'!A21</f>
        <v>Ago 2025</v>
      </c>
      <c r="B25" s="88">
        <f>'10. Proyecciones Financieras'!B21</f>
        <v>8</v>
      </c>
      <c r="C25" s="88">
        <f>'10. Proyecciones Financieras'!C21</f>
        <v>3</v>
      </c>
      <c r="D25" s="88">
        <f>'10. Proyecciones Financieras'!D21</f>
        <v>14</v>
      </c>
      <c r="E25" s="89">
        <f>'10. Proyecciones Financieras'!E21</f>
        <v>131250</v>
      </c>
      <c r="F25" s="89">
        <f>'10. Proyecciones Financieras'!F21</f>
        <v>63000</v>
      </c>
      <c r="G25" s="90">
        <f>'10. Proyecciones Financieras'!G21</f>
        <v>194250</v>
      </c>
      <c r="H25" s="89">
        <f>'10. Proyecciones Financieras'!H21</f>
        <v>63000</v>
      </c>
      <c r="Q25" t="str">
        <f t="shared" si="0"/>
        <v>Dic 2026</v>
      </c>
      <c r="R25" s="64">
        <f t="shared" si="1"/>
        <v>346500</v>
      </c>
    </row>
    <row r="26" spans="1:18" ht="16.899999999999999" customHeight="1" x14ac:dyDescent="0.25">
      <c r="A26" s="93">
        <f>'10. Proyecciones Financieras'!A22</f>
        <v>45901</v>
      </c>
      <c r="B26" s="8">
        <f>'10. Proyecciones Financieras'!B22</f>
        <v>9</v>
      </c>
      <c r="C26" s="8">
        <f>'10. Proyecciones Financieras'!C22</f>
        <v>3</v>
      </c>
      <c r="D26" s="8">
        <f>'10. Proyecciones Financieras'!D22</f>
        <v>16</v>
      </c>
      <c r="E26" s="86">
        <f>'10. Proyecciones Financieras'!E22</f>
        <v>131250</v>
      </c>
      <c r="F26" s="86">
        <f>'10. Proyecciones Financieras'!F22</f>
        <v>78750</v>
      </c>
      <c r="G26" s="87">
        <f>'10. Proyecciones Financieras'!G22</f>
        <v>210000</v>
      </c>
      <c r="H26" s="86">
        <f>'10. Proyecciones Financieras'!H22</f>
        <v>78750</v>
      </c>
    </row>
    <row r="27" spans="1:18" ht="16.899999999999999" customHeight="1" x14ac:dyDescent="0.25">
      <c r="A27" s="92">
        <f>'10. Proyecciones Financieras'!A23</f>
        <v>45931</v>
      </c>
      <c r="B27" s="88">
        <f>'10. Proyecciones Financieras'!B23</f>
        <v>10</v>
      </c>
      <c r="C27" s="88">
        <f>'10. Proyecciones Financieras'!C23</f>
        <v>3</v>
      </c>
      <c r="D27" s="88">
        <f>'10. Proyecciones Financieras'!D23</f>
        <v>18</v>
      </c>
      <c r="E27" s="89">
        <f>'10. Proyecciones Financieras'!E23</f>
        <v>131250</v>
      </c>
      <c r="F27" s="89">
        <f>'10. Proyecciones Financieras'!F23</f>
        <v>86625</v>
      </c>
      <c r="G27" s="90">
        <f>'10. Proyecciones Financieras'!G23</f>
        <v>217875</v>
      </c>
      <c r="H27" s="89">
        <f>'10. Proyecciones Financieras'!H23</f>
        <v>86625</v>
      </c>
    </row>
    <row r="28" spans="1:18" ht="16.899999999999999" customHeight="1" x14ac:dyDescent="0.25">
      <c r="A28" s="93">
        <f>'10. Proyecciones Financieras'!A24</f>
        <v>45962</v>
      </c>
      <c r="B28" s="8">
        <f>'10. Proyecciones Financieras'!B24</f>
        <v>11</v>
      </c>
      <c r="C28" s="8">
        <f>'10. Proyecciones Financieras'!C24</f>
        <v>3</v>
      </c>
      <c r="D28" s="8">
        <f>'10. Proyecciones Financieras'!D24</f>
        <v>20</v>
      </c>
      <c r="E28" s="86">
        <f>'10. Proyecciones Financieras'!E24</f>
        <v>131250</v>
      </c>
      <c r="F28" s="86">
        <f>'10. Proyecciones Financieras'!F24</f>
        <v>94500</v>
      </c>
      <c r="G28" s="87">
        <f>'10. Proyecciones Financieras'!G24</f>
        <v>225750</v>
      </c>
      <c r="H28" s="86">
        <f>'10. Proyecciones Financieras'!H24</f>
        <v>94500</v>
      </c>
    </row>
    <row r="29" spans="1:18" ht="16.899999999999999" customHeight="1" x14ac:dyDescent="0.25">
      <c r="A29" s="88" t="str">
        <f>'10. Proyecciones Financieras'!A25</f>
        <v>Dic 2025</v>
      </c>
      <c r="B29" s="88">
        <f>'10. Proyecciones Financieras'!B25</f>
        <v>12</v>
      </c>
      <c r="C29" s="88">
        <f>'10. Proyecciones Financieras'!C25</f>
        <v>4</v>
      </c>
      <c r="D29" s="88">
        <f>'10. Proyecciones Financieras'!D25</f>
        <v>23</v>
      </c>
      <c r="E29" s="89">
        <f>'10. Proyecciones Financieras'!E25</f>
        <v>175000</v>
      </c>
      <c r="F29" s="89">
        <f>'10. Proyecciones Financieras'!F25</f>
        <v>110250</v>
      </c>
      <c r="G29" s="90">
        <f>'10. Proyecciones Financieras'!G25</f>
        <v>285250</v>
      </c>
      <c r="H29" s="89">
        <f>'10. Proyecciones Financieras'!H25</f>
        <v>110250</v>
      </c>
    </row>
    <row r="30" spans="1:18" ht="16.899999999999999" customHeight="1" x14ac:dyDescent="0.25">
      <c r="A30" s="8" t="str">
        <f>'10. Proyecciones Financieras'!A26</f>
        <v>Ene 2026</v>
      </c>
      <c r="B30" s="8">
        <f>'10. Proyecciones Financieras'!B26</f>
        <v>13</v>
      </c>
      <c r="C30" s="8">
        <f>'10. Proyecciones Financieras'!C26</f>
        <v>4</v>
      </c>
      <c r="D30" s="8">
        <f>'10. Proyecciones Financieras'!D26</f>
        <v>26</v>
      </c>
      <c r="E30" s="86">
        <f>'10. Proyecciones Financieras'!E26</f>
        <v>175000</v>
      </c>
      <c r="F30" s="86">
        <f>'10. Proyecciones Financieras'!F26</f>
        <v>126000</v>
      </c>
      <c r="G30" s="87">
        <f>'10. Proyecciones Financieras'!G26</f>
        <v>301000</v>
      </c>
      <c r="H30" s="86">
        <f>'10. Proyecciones Financieras'!H26</f>
        <v>126000</v>
      </c>
    </row>
    <row r="31" spans="1:18" ht="16.899999999999999" customHeight="1" x14ac:dyDescent="0.25">
      <c r="A31" s="92">
        <f>'10. Proyecciones Financieras'!A27</f>
        <v>46054</v>
      </c>
      <c r="B31" s="88">
        <f>'10. Proyecciones Financieras'!B27</f>
        <v>14</v>
      </c>
      <c r="C31" s="88">
        <f>'10. Proyecciones Financieras'!C27</f>
        <v>4</v>
      </c>
      <c r="D31" s="88">
        <f>'10. Proyecciones Financieras'!D27</f>
        <v>29</v>
      </c>
      <c r="E31" s="89">
        <f>'10. Proyecciones Financieras'!E27</f>
        <v>175000</v>
      </c>
      <c r="F31" s="89">
        <f>'10. Proyecciones Financieras'!F27</f>
        <v>133875</v>
      </c>
      <c r="G31" s="90">
        <f>'10. Proyecciones Financieras'!G27</f>
        <v>308875</v>
      </c>
      <c r="H31" s="89">
        <f>'10. Proyecciones Financieras'!H27</f>
        <v>133875</v>
      </c>
    </row>
    <row r="32" spans="1:18" ht="16.899999999999999" customHeight="1" x14ac:dyDescent="0.25">
      <c r="A32" s="93">
        <f>'10. Proyecciones Financieras'!A28</f>
        <v>46082</v>
      </c>
      <c r="B32" s="8">
        <f>'10. Proyecciones Financieras'!B28</f>
        <v>15</v>
      </c>
      <c r="C32" s="8">
        <f>'10. Proyecciones Financieras'!C28</f>
        <v>5</v>
      </c>
      <c r="D32" s="8">
        <f>'10. Proyecciones Financieras'!D28</f>
        <v>33</v>
      </c>
      <c r="E32" s="86">
        <f>'10. Proyecciones Financieras'!E28</f>
        <v>218750</v>
      </c>
      <c r="F32" s="86">
        <f>'10. Proyecciones Financieras'!F28</f>
        <v>157500</v>
      </c>
      <c r="G32" s="87">
        <f>'10. Proyecciones Financieras'!G28</f>
        <v>376250</v>
      </c>
      <c r="H32" s="86">
        <f>'10. Proyecciones Financieras'!H28</f>
        <v>157500</v>
      </c>
    </row>
    <row r="33" spans="1:8" ht="16.899999999999999" customHeight="1" x14ac:dyDescent="0.25">
      <c r="A33" s="88" t="str">
        <f>'10. Proyecciones Financieras'!A29</f>
        <v>Abr 2026</v>
      </c>
      <c r="B33" s="88">
        <f>'10. Proyecciones Financieras'!B29</f>
        <v>16</v>
      </c>
      <c r="C33" s="88">
        <f>'10. Proyecciones Financieras'!C29</f>
        <v>5</v>
      </c>
      <c r="D33" s="88">
        <f>'10. Proyecciones Financieras'!D29</f>
        <v>37</v>
      </c>
      <c r="E33" s="89">
        <f>'10. Proyecciones Financieras'!E29</f>
        <v>218750</v>
      </c>
      <c r="F33" s="89">
        <f>'10. Proyecciones Financieras'!F29</f>
        <v>173250</v>
      </c>
      <c r="G33" s="90">
        <f>'10. Proyecciones Financieras'!G29</f>
        <v>392000</v>
      </c>
      <c r="H33" s="89">
        <f>'10. Proyecciones Financieras'!H29</f>
        <v>173250</v>
      </c>
    </row>
    <row r="34" spans="1:8" ht="16.899999999999999" customHeight="1" x14ac:dyDescent="0.25">
      <c r="A34" s="93">
        <f>'10. Proyecciones Financieras'!A30</f>
        <v>46143</v>
      </c>
      <c r="B34" s="8">
        <f>'10. Proyecciones Financieras'!B30</f>
        <v>17</v>
      </c>
      <c r="C34" s="8">
        <f>'10. Proyecciones Financieras'!C30</f>
        <v>5</v>
      </c>
      <c r="D34" s="8">
        <f>'10. Proyecciones Financieras'!D30</f>
        <v>41</v>
      </c>
      <c r="E34" s="86">
        <f>'10. Proyecciones Financieras'!E30</f>
        <v>218750</v>
      </c>
      <c r="F34" s="86">
        <f>'10. Proyecciones Financieras'!F30</f>
        <v>196875</v>
      </c>
      <c r="G34" s="87">
        <f>'10. Proyecciones Financieras'!G30</f>
        <v>415625</v>
      </c>
      <c r="H34" s="86">
        <f>'10. Proyecciones Financieras'!H30</f>
        <v>196875</v>
      </c>
    </row>
    <row r="35" spans="1:8" ht="16.899999999999999" customHeight="1" x14ac:dyDescent="0.25">
      <c r="A35" s="92">
        <f>'10. Proyecciones Financieras'!A31</f>
        <v>46174</v>
      </c>
      <c r="B35" s="88">
        <f>'10. Proyecciones Financieras'!B31</f>
        <v>18</v>
      </c>
      <c r="C35" s="88">
        <f>'10. Proyecciones Financieras'!C31</f>
        <v>6</v>
      </c>
      <c r="D35" s="88">
        <f>'10. Proyecciones Financieras'!D31</f>
        <v>45</v>
      </c>
      <c r="E35" s="89">
        <f>'10. Proyecciones Financieras'!E31</f>
        <v>262500</v>
      </c>
      <c r="F35" s="89">
        <f>'10. Proyecciones Financieras'!F31</f>
        <v>212625</v>
      </c>
      <c r="G35" s="90">
        <f>'10. Proyecciones Financieras'!G31</f>
        <v>475125</v>
      </c>
      <c r="H35" s="89">
        <f>'10. Proyecciones Financieras'!H31</f>
        <v>212625</v>
      </c>
    </row>
    <row r="36" spans="1:8" ht="16.899999999999999" customHeight="1" x14ac:dyDescent="0.25">
      <c r="A36" s="93">
        <f>'10. Proyecciones Financieras'!A32</f>
        <v>46204</v>
      </c>
      <c r="B36" s="8">
        <f>'10. Proyecciones Financieras'!B32</f>
        <v>19</v>
      </c>
      <c r="C36" s="8">
        <f>'10. Proyecciones Financieras'!C32</f>
        <v>6</v>
      </c>
      <c r="D36" s="8">
        <f>'10. Proyecciones Financieras'!D32</f>
        <v>49</v>
      </c>
      <c r="E36" s="86">
        <f>'10. Proyecciones Financieras'!E32</f>
        <v>262500</v>
      </c>
      <c r="F36" s="86">
        <f>'10. Proyecciones Financieras'!F32</f>
        <v>228375</v>
      </c>
      <c r="G36" s="87">
        <f>'10. Proyecciones Financieras'!G32</f>
        <v>490875</v>
      </c>
      <c r="H36" s="86">
        <f>'10. Proyecciones Financieras'!H32</f>
        <v>228375</v>
      </c>
    </row>
    <row r="37" spans="1:8" ht="16.899999999999999" customHeight="1" x14ac:dyDescent="0.25">
      <c r="A37" s="88" t="str">
        <f>'10. Proyecciones Financieras'!A33</f>
        <v>Ago 2026</v>
      </c>
      <c r="B37" s="88">
        <f>'10. Proyecciones Financieras'!B33</f>
        <v>20</v>
      </c>
      <c r="C37" s="88">
        <f>'10. Proyecciones Financieras'!C33</f>
        <v>6</v>
      </c>
      <c r="D37" s="88">
        <f>'10. Proyecciones Financieras'!D33</f>
        <v>53</v>
      </c>
      <c r="E37" s="89">
        <f>'10. Proyecciones Financieras'!E33</f>
        <v>262500</v>
      </c>
      <c r="F37" s="89">
        <f>'10. Proyecciones Financieras'!F33</f>
        <v>252000</v>
      </c>
      <c r="G37" s="90">
        <f>'10. Proyecciones Financieras'!G33</f>
        <v>514500</v>
      </c>
      <c r="H37" s="89">
        <f>'10. Proyecciones Financieras'!H33</f>
        <v>252000</v>
      </c>
    </row>
    <row r="38" spans="1:8" ht="16.899999999999999" customHeight="1" x14ac:dyDescent="0.25">
      <c r="A38" s="93">
        <f>'10. Proyecciones Financieras'!A34</f>
        <v>46266</v>
      </c>
      <c r="B38" s="8">
        <f>'10. Proyecciones Financieras'!B34</f>
        <v>21</v>
      </c>
      <c r="C38" s="8">
        <f>'10. Proyecciones Financieras'!C34</f>
        <v>7</v>
      </c>
      <c r="D38" s="8">
        <f>'10. Proyecciones Financieras'!D34</f>
        <v>58</v>
      </c>
      <c r="E38" s="86">
        <f>'10. Proyecciones Financieras'!E34</f>
        <v>306250</v>
      </c>
      <c r="F38" s="86">
        <f>'10. Proyecciones Financieras'!F34</f>
        <v>275625</v>
      </c>
      <c r="G38" s="87">
        <f>'10. Proyecciones Financieras'!G34</f>
        <v>581875</v>
      </c>
      <c r="H38" s="86">
        <f>'10. Proyecciones Financieras'!H34</f>
        <v>275625</v>
      </c>
    </row>
    <row r="39" spans="1:8" ht="16.899999999999999" customHeight="1" x14ac:dyDescent="0.25">
      <c r="A39" s="92">
        <f>'10. Proyecciones Financieras'!A35</f>
        <v>46296</v>
      </c>
      <c r="B39" s="88">
        <f>'10. Proyecciones Financieras'!B35</f>
        <v>22</v>
      </c>
      <c r="C39" s="88">
        <f>'10. Proyecciones Financieras'!C35</f>
        <v>7</v>
      </c>
      <c r="D39" s="88">
        <f>'10. Proyecciones Financieras'!D35</f>
        <v>63</v>
      </c>
      <c r="E39" s="89">
        <f>'10. Proyecciones Financieras'!E35</f>
        <v>306250</v>
      </c>
      <c r="F39" s="89">
        <f>'10. Proyecciones Financieras'!F35</f>
        <v>299250</v>
      </c>
      <c r="G39" s="90">
        <f>'10. Proyecciones Financieras'!G35</f>
        <v>605500</v>
      </c>
      <c r="H39" s="89">
        <f>'10. Proyecciones Financieras'!H35</f>
        <v>299250</v>
      </c>
    </row>
    <row r="40" spans="1:8" ht="16.899999999999999" customHeight="1" x14ac:dyDescent="0.25">
      <c r="A40" s="93">
        <f>'10. Proyecciones Financieras'!A36</f>
        <v>46327</v>
      </c>
      <c r="B40" s="8">
        <f>'10. Proyecciones Financieras'!B36</f>
        <v>23</v>
      </c>
      <c r="C40" s="8">
        <f>'10. Proyecciones Financieras'!C36</f>
        <v>8</v>
      </c>
      <c r="D40" s="8">
        <f>'10. Proyecciones Financieras'!D36</f>
        <v>68</v>
      </c>
      <c r="E40" s="86">
        <f>'10. Proyecciones Financieras'!E36</f>
        <v>350000</v>
      </c>
      <c r="F40" s="86">
        <f>'10. Proyecciones Financieras'!F36</f>
        <v>322875</v>
      </c>
      <c r="G40" s="87">
        <f>'10. Proyecciones Financieras'!G36</f>
        <v>672875</v>
      </c>
      <c r="H40" s="86">
        <f>'10. Proyecciones Financieras'!H36</f>
        <v>322875</v>
      </c>
    </row>
    <row r="41" spans="1:8" ht="16.899999999999999" customHeight="1" x14ac:dyDescent="0.25">
      <c r="A41" s="88" t="str">
        <f>'10. Proyecciones Financieras'!A37</f>
        <v>Dic 2026</v>
      </c>
      <c r="B41" s="88">
        <f>'10. Proyecciones Financieras'!B37</f>
        <v>24</v>
      </c>
      <c r="C41" s="88">
        <f>'10. Proyecciones Financieras'!C37</f>
        <v>8</v>
      </c>
      <c r="D41" s="88">
        <f>'10. Proyecciones Financieras'!D37</f>
        <v>73</v>
      </c>
      <c r="E41" s="89">
        <f>'10. Proyecciones Financieras'!E37</f>
        <v>350000</v>
      </c>
      <c r="F41" s="89">
        <f>'10. Proyecciones Financieras'!F37</f>
        <v>346500</v>
      </c>
      <c r="G41" s="90">
        <f>'10. Proyecciones Financieras'!G37</f>
        <v>696500</v>
      </c>
      <c r="H41" s="89">
        <f>'10. Proyecciones Financieras'!H37</f>
        <v>346500</v>
      </c>
    </row>
    <row r="61" spans="1:8" ht="7.9" customHeight="1" x14ac:dyDescent="0.25"/>
    <row r="62" spans="1:8" ht="22.15" customHeight="1" x14ac:dyDescent="0.25">
      <c r="A62" s="97" t="s">
        <v>958</v>
      </c>
      <c r="B62" s="97"/>
      <c r="C62" s="97"/>
      <c r="D62" s="97"/>
      <c r="E62" s="97"/>
      <c r="F62" s="97"/>
      <c r="G62" s="97"/>
      <c r="H62" s="97"/>
    </row>
    <row r="63" spans="1:8" x14ac:dyDescent="0.25">
      <c r="A63" s="65" t="s">
        <v>39</v>
      </c>
      <c r="B63" s="65" t="s">
        <v>659</v>
      </c>
      <c r="C63" s="65"/>
      <c r="D63" s="65" t="s">
        <v>39</v>
      </c>
      <c r="E63" s="65" t="s">
        <v>659</v>
      </c>
      <c r="F63" s="65"/>
      <c r="G63" s="65" t="s">
        <v>39</v>
      </c>
      <c r="H63" s="65" t="s">
        <v>659</v>
      </c>
    </row>
    <row r="64" spans="1:8" ht="18" customHeight="1" x14ac:dyDescent="0.25">
      <c r="A64" s="66" t="s">
        <v>959</v>
      </c>
      <c r="B64" s="67" t="str">
        <f>'10. Proyecciones Financieras'!B60</f>
        <v>$7,350 MXN</v>
      </c>
      <c r="C64" s="66"/>
      <c r="D64" s="66" t="s">
        <v>960</v>
      </c>
      <c r="E64" s="67" t="str">
        <f>'10. Proyecciones Financieras'!B61</f>
        <v>$12,600 MXN/mes (proyecto prorrateado + retainer)</v>
      </c>
      <c r="F64" s="66"/>
      <c r="G64" s="66" t="s">
        <v>961</v>
      </c>
      <c r="H64" s="67" t="str">
        <f>'10. Proyecciones Financieras'!B64</f>
        <v>Mes 15-18 (escenario base realista)</v>
      </c>
    </row>
    <row r="65" spans="1:8" ht="18" customHeight="1" x14ac:dyDescent="0.25">
      <c r="A65" s="68" t="s">
        <v>962</v>
      </c>
      <c r="B65" s="69" t="str">
        <f>'10. Proyecciones Financieras'!B62</f>
        <v>1 cliente activo (costo casi cero inicial)</v>
      </c>
      <c r="C65" s="68"/>
      <c r="D65" s="68" t="s">
        <v>963</v>
      </c>
      <c r="E65" s="69" t="str">
        <f>'10. Proyecciones Financieras'!B63</f>
        <v>~14 clientes activos con retainer</v>
      </c>
      <c r="F65" s="68"/>
      <c r="G65" s="68" t="s">
        <v>964</v>
      </c>
      <c r="H65" s="69" t="str">
        <f>'10. Proyecciones Financieras'!B65</f>
        <v>$0 MXN — modelo 100% bootstrapped</v>
      </c>
    </row>
    <row r="66" spans="1:8" ht="7.9" customHeight="1" x14ac:dyDescent="0.25"/>
    <row r="67" spans="1:8" ht="19.899999999999999" customHeight="1" x14ac:dyDescent="0.25">
      <c r="A67" s="98" t="s">
        <v>965</v>
      </c>
      <c r="B67" s="98"/>
      <c r="C67" s="98"/>
      <c r="D67" s="98"/>
      <c r="E67" s="98"/>
      <c r="F67" s="98"/>
      <c r="G67" s="98"/>
      <c r="H67" s="98"/>
    </row>
  </sheetData>
  <mergeCells count="25">
    <mergeCell ref="A1:O1"/>
    <mergeCell ref="A2:O2"/>
    <mergeCell ref="A4:B4"/>
    <mergeCell ref="C4:D4"/>
    <mergeCell ref="E4:F4"/>
    <mergeCell ref="G4:H4"/>
    <mergeCell ref="I4:J4"/>
    <mergeCell ref="K4:L4"/>
    <mergeCell ref="K6:L6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  <mergeCell ref="A8:H8"/>
    <mergeCell ref="J8:O8"/>
    <mergeCell ref="A16:H16"/>
    <mergeCell ref="A62:H62"/>
    <mergeCell ref="A67:H6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3F1EB-B4ED-4D36-BAFE-F984C51B7884}">
  <sheetPr>
    <tabColor rgb="FF1F4E79"/>
  </sheetPr>
  <dimension ref="A1:D34"/>
  <sheetViews>
    <sheetView topLeftCell="A11" workbookViewId="0">
      <selection activeCell="B7" sqref="B7"/>
    </sheetView>
  </sheetViews>
  <sheetFormatPr baseColWidth="10" defaultRowHeight="15" x14ac:dyDescent="0.25"/>
  <cols>
    <col min="1" max="1" width="37" customWidth="1"/>
    <col min="2" max="2" width="70.28515625" style="10" customWidth="1"/>
    <col min="3" max="4" width="14.7109375" customWidth="1"/>
  </cols>
  <sheetData>
    <row r="1" spans="1:4" ht="34.9" customHeight="1" x14ac:dyDescent="0.35">
      <c r="A1" s="105" t="s">
        <v>0</v>
      </c>
      <c r="B1" s="105"/>
      <c r="C1" s="105"/>
      <c r="D1" s="105"/>
    </row>
    <row r="3" spans="1:4" ht="22.15" customHeight="1" x14ac:dyDescent="0.25">
      <c r="A3" s="113" t="s">
        <v>1</v>
      </c>
      <c r="B3" s="113"/>
      <c r="C3" s="113"/>
      <c r="D3" s="113"/>
    </row>
    <row r="5" spans="1:4" x14ac:dyDescent="0.25">
      <c r="A5" s="7" t="s">
        <v>2</v>
      </c>
      <c r="B5" s="11" t="s">
        <v>3</v>
      </c>
      <c r="C5" s="1"/>
      <c r="D5" s="1"/>
    </row>
    <row r="6" spans="1:4" x14ac:dyDescent="0.25">
      <c r="A6" s="8" t="s">
        <v>966</v>
      </c>
      <c r="B6" s="12" t="s">
        <v>967</v>
      </c>
      <c r="C6" s="2"/>
      <c r="D6" s="2"/>
    </row>
    <row r="7" spans="1:4" x14ac:dyDescent="0.25">
      <c r="A7" s="9" t="s">
        <v>4</v>
      </c>
      <c r="B7" s="13" t="s">
        <v>5</v>
      </c>
      <c r="C7" s="3"/>
      <c r="D7" s="3"/>
    </row>
    <row r="8" spans="1:4" x14ac:dyDescent="0.25">
      <c r="A8" s="8" t="s">
        <v>6</v>
      </c>
      <c r="B8" s="12" t="s">
        <v>7</v>
      </c>
      <c r="C8" s="2"/>
      <c r="D8" s="2"/>
    </row>
    <row r="9" spans="1:4" x14ac:dyDescent="0.25">
      <c r="A9" s="9" t="s">
        <v>8</v>
      </c>
      <c r="B9" s="13" t="s">
        <v>9</v>
      </c>
      <c r="C9" s="3"/>
      <c r="D9" s="3"/>
    </row>
    <row r="10" spans="1:4" x14ac:dyDescent="0.25">
      <c r="A10" s="8" t="s">
        <v>10</v>
      </c>
      <c r="B10" s="12" t="s">
        <v>11</v>
      </c>
      <c r="C10" s="2"/>
      <c r="D10" s="2"/>
    </row>
    <row r="11" spans="1:4" x14ac:dyDescent="0.25">
      <c r="A11" s="9" t="s">
        <v>12</v>
      </c>
      <c r="B11" s="13" t="s">
        <v>13</v>
      </c>
      <c r="C11" s="3"/>
      <c r="D11" s="3"/>
    </row>
    <row r="12" spans="1:4" x14ac:dyDescent="0.25">
      <c r="A12" s="8" t="s">
        <v>14</v>
      </c>
      <c r="B12" s="12" t="s">
        <v>15</v>
      </c>
      <c r="C12" s="2"/>
      <c r="D12" s="2"/>
    </row>
    <row r="13" spans="1:4" x14ac:dyDescent="0.25">
      <c r="A13" s="9" t="s">
        <v>16</v>
      </c>
      <c r="B13" s="13" t="s">
        <v>837</v>
      </c>
      <c r="C13" s="3"/>
      <c r="D13" s="3"/>
    </row>
    <row r="14" spans="1:4" x14ac:dyDescent="0.25">
      <c r="A14" s="8" t="s">
        <v>17</v>
      </c>
      <c r="B14" s="12" t="s">
        <v>838</v>
      </c>
      <c r="C14" s="2"/>
      <c r="D14" s="2"/>
    </row>
    <row r="15" spans="1:4" x14ac:dyDescent="0.25">
      <c r="A15" s="9" t="s">
        <v>18</v>
      </c>
      <c r="B15" s="13" t="s">
        <v>19</v>
      </c>
      <c r="C15" s="3"/>
      <c r="D15" s="3"/>
    </row>
    <row r="16" spans="1:4" x14ac:dyDescent="0.25">
      <c r="A16" s="8" t="s">
        <v>20</v>
      </c>
      <c r="B16" s="12" t="s">
        <v>21</v>
      </c>
      <c r="C16" s="2"/>
      <c r="D16" s="2"/>
    </row>
    <row r="18" spans="1:4" ht="22.15" customHeight="1" x14ac:dyDescent="0.25">
      <c r="A18" s="113" t="s">
        <v>22</v>
      </c>
      <c r="B18" s="113"/>
      <c r="C18" s="113"/>
      <c r="D18" s="113"/>
    </row>
    <row r="19" spans="1:4" x14ac:dyDescent="0.25">
      <c r="A19" s="3" t="s">
        <v>23</v>
      </c>
      <c r="B19" s="14" t="s">
        <v>839</v>
      </c>
      <c r="C19" s="3"/>
      <c r="D19" s="3"/>
    </row>
    <row r="20" spans="1:4" x14ac:dyDescent="0.25">
      <c r="A20" s="4" t="s">
        <v>24</v>
      </c>
      <c r="B20" s="15" t="s">
        <v>840</v>
      </c>
      <c r="C20" s="4"/>
      <c r="D20" s="4"/>
    </row>
    <row r="21" spans="1:4" x14ac:dyDescent="0.25">
      <c r="A21" s="3" t="s">
        <v>25</v>
      </c>
      <c r="B21" s="14" t="s">
        <v>841</v>
      </c>
      <c r="C21" s="3"/>
      <c r="D21" s="3"/>
    </row>
    <row r="22" spans="1:4" x14ac:dyDescent="0.25">
      <c r="A22" s="4" t="s">
        <v>26</v>
      </c>
      <c r="B22" s="15" t="s">
        <v>842</v>
      </c>
      <c r="C22" s="4"/>
      <c r="D22" s="4"/>
    </row>
    <row r="23" spans="1:4" x14ac:dyDescent="0.25">
      <c r="A23" s="3" t="s">
        <v>27</v>
      </c>
      <c r="B23" s="14" t="s">
        <v>843</v>
      </c>
      <c r="C23" s="3"/>
      <c r="D23" s="3"/>
    </row>
    <row r="25" spans="1:4" ht="22.15" customHeight="1" x14ac:dyDescent="0.25">
      <c r="A25" s="113" t="s">
        <v>28</v>
      </c>
      <c r="B25" s="113"/>
      <c r="C25" s="113"/>
      <c r="D25" s="113"/>
    </row>
    <row r="26" spans="1:4" x14ac:dyDescent="0.25">
      <c r="B26" s="10" t="s">
        <v>29</v>
      </c>
    </row>
    <row r="27" spans="1:4" x14ac:dyDescent="0.25">
      <c r="B27" s="10" t="s">
        <v>30</v>
      </c>
    </row>
    <row r="29" spans="1:4" ht="22.15" customHeight="1" x14ac:dyDescent="0.25">
      <c r="A29" s="113" t="s">
        <v>31</v>
      </c>
      <c r="B29" s="113"/>
      <c r="C29" s="113"/>
      <c r="D29" s="113"/>
    </row>
    <row r="30" spans="1:4" x14ac:dyDescent="0.25">
      <c r="A30" s="5">
        <v>1</v>
      </c>
      <c r="B30" s="16" t="s">
        <v>32</v>
      </c>
      <c r="C30" s="5"/>
      <c r="D30" s="5"/>
    </row>
    <row r="31" spans="1:4" x14ac:dyDescent="0.25">
      <c r="A31" s="6">
        <v>2</v>
      </c>
      <c r="B31" s="17" t="s">
        <v>33</v>
      </c>
      <c r="C31" s="6"/>
      <c r="D31" s="6"/>
    </row>
    <row r="32" spans="1:4" x14ac:dyDescent="0.25">
      <c r="A32" s="5">
        <v>3</v>
      </c>
      <c r="B32" s="16" t="s">
        <v>34</v>
      </c>
      <c r="C32" s="5"/>
      <c r="D32" s="5"/>
    </row>
    <row r="33" spans="1:4" x14ac:dyDescent="0.25">
      <c r="A33" s="6">
        <v>4</v>
      </c>
      <c r="B33" s="17" t="s">
        <v>35</v>
      </c>
      <c r="C33" s="6"/>
      <c r="D33" s="6"/>
    </row>
    <row r="34" spans="1:4" x14ac:dyDescent="0.25">
      <c r="A34" s="5">
        <v>5</v>
      </c>
      <c r="B34" s="16" t="s">
        <v>36</v>
      </c>
      <c r="C34" s="5"/>
      <c r="D34" s="5"/>
    </row>
  </sheetData>
  <mergeCells count="5">
    <mergeCell ref="A1:D1"/>
    <mergeCell ref="A3:D3"/>
    <mergeCell ref="A18:D18"/>
    <mergeCell ref="A25:D25"/>
    <mergeCell ref="A29:D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3CA76-8249-4CA2-8CA1-596C753A22FA}">
  <sheetPr>
    <tabColor rgb="FF375623"/>
  </sheetPr>
  <dimension ref="A1:D42"/>
  <sheetViews>
    <sheetView workbookViewId="0">
      <selection sqref="A1:D1"/>
    </sheetView>
  </sheetViews>
  <sheetFormatPr baseColWidth="10" defaultRowHeight="15" x14ac:dyDescent="0.25"/>
  <cols>
    <col min="1" max="1" width="40.7109375" style="10" customWidth="1"/>
    <col min="2" max="2" width="51.85546875" style="10" customWidth="1"/>
    <col min="3" max="3" width="27.7109375" style="10" customWidth="1"/>
    <col min="4" max="4" width="33.28515625" style="10" customWidth="1"/>
  </cols>
  <sheetData>
    <row r="1" spans="1:4" ht="30" customHeight="1" x14ac:dyDescent="0.3">
      <c r="A1" s="114" t="s">
        <v>37</v>
      </c>
      <c r="B1" s="114"/>
      <c r="C1" s="114"/>
      <c r="D1" s="114"/>
    </row>
    <row r="3" spans="1:4" ht="19.899999999999999" customHeight="1" x14ac:dyDescent="0.25">
      <c r="A3" s="115" t="s">
        <v>38</v>
      </c>
      <c r="B3" s="115"/>
      <c r="C3" s="115"/>
      <c r="D3" s="115"/>
    </row>
    <row r="4" spans="1:4" x14ac:dyDescent="0.25">
      <c r="A4" s="18" t="s">
        <v>39</v>
      </c>
      <c r="B4" s="18" t="s">
        <v>40</v>
      </c>
      <c r="C4" s="18" t="s">
        <v>41</v>
      </c>
      <c r="D4" s="18"/>
    </row>
    <row r="5" spans="1:4" x14ac:dyDescent="0.25">
      <c r="A5" s="10" t="s">
        <v>42</v>
      </c>
      <c r="B5" s="10" t="s">
        <v>43</v>
      </c>
      <c r="C5" s="10" t="s">
        <v>44</v>
      </c>
    </row>
    <row r="6" spans="1:4" x14ac:dyDescent="0.25">
      <c r="A6" s="10" t="s">
        <v>45</v>
      </c>
      <c r="B6" s="10" t="s">
        <v>46</v>
      </c>
      <c r="C6" s="10" t="s">
        <v>47</v>
      </c>
    </row>
    <row r="7" spans="1:4" x14ac:dyDescent="0.25">
      <c r="A7" s="10" t="s">
        <v>48</v>
      </c>
      <c r="B7" s="10" t="s">
        <v>49</v>
      </c>
      <c r="C7" s="10" t="s">
        <v>50</v>
      </c>
    </row>
    <row r="8" spans="1:4" x14ac:dyDescent="0.25">
      <c r="A8" s="10" t="s">
        <v>51</v>
      </c>
      <c r="B8" s="10" t="s">
        <v>52</v>
      </c>
      <c r="C8" s="10" t="s">
        <v>53</v>
      </c>
    </row>
    <row r="9" spans="1:4" x14ac:dyDescent="0.25">
      <c r="A9" s="10" t="s">
        <v>54</v>
      </c>
      <c r="B9" s="10" t="s">
        <v>55</v>
      </c>
      <c r="C9" s="10" t="s">
        <v>56</v>
      </c>
    </row>
    <row r="10" spans="1:4" x14ac:dyDescent="0.25">
      <c r="A10" s="10" t="s">
        <v>57</v>
      </c>
      <c r="B10" s="10" t="s">
        <v>58</v>
      </c>
      <c r="C10" s="10" t="s">
        <v>59</v>
      </c>
    </row>
    <row r="11" spans="1:4" x14ac:dyDescent="0.25">
      <c r="A11" s="10" t="s">
        <v>60</v>
      </c>
      <c r="B11" s="10" t="s">
        <v>61</v>
      </c>
      <c r="C11" s="10" t="s">
        <v>62</v>
      </c>
    </row>
    <row r="13" spans="1:4" ht="19.899999999999999" customHeight="1" x14ac:dyDescent="0.25">
      <c r="A13" s="115" t="s">
        <v>63</v>
      </c>
      <c r="B13" s="115"/>
      <c r="C13" s="115"/>
      <c r="D13" s="115"/>
    </row>
    <row r="14" spans="1:4" x14ac:dyDescent="0.25">
      <c r="A14" s="18" t="s">
        <v>64</v>
      </c>
      <c r="B14" s="18" t="s">
        <v>65</v>
      </c>
      <c r="C14" s="18"/>
      <c r="D14" s="18"/>
    </row>
    <row r="15" spans="1:4" x14ac:dyDescent="0.25">
      <c r="A15" s="10" t="s">
        <v>66</v>
      </c>
      <c r="B15" s="10" t="s">
        <v>67</v>
      </c>
    </row>
    <row r="16" spans="1:4" x14ac:dyDescent="0.25">
      <c r="A16" s="10" t="s">
        <v>68</v>
      </c>
      <c r="B16" s="10" t="s">
        <v>69</v>
      </c>
    </row>
    <row r="17" spans="1:4" ht="30" x14ac:dyDescent="0.25">
      <c r="A17" s="10" t="s">
        <v>70</v>
      </c>
      <c r="B17" s="10" t="s">
        <v>71</v>
      </c>
    </row>
    <row r="18" spans="1:4" ht="30" x14ac:dyDescent="0.25">
      <c r="A18" s="10" t="s">
        <v>72</v>
      </c>
      <c r="B18" s="10" t="s">
        <v>73</v>
      </c>
    </row>
    <row r="19" spans="1:4" ht="30" x14ac:dyDescent="0.25">
      <c r="A19" s="10" t="s">
        <v>74</v>
      </c>
      <c r="B19" s="10" t="s">
        <v>75</v>
      </c>
    </row>
    <row r="20" spans="1:4" ht="19.899999999999999" customHeight="1" x14ac:dyDescent="0.25">
      <c r="A20" s="115"/>
      <c r="B20" s="115"/>
      <c r="C20" s="115"/>
      <c r="D20" s="115"/>
    </row>
    <row r="21" spans="1:4" x14ac:dyDescent="0.25">
      <c r="A21" s="18" t="s">
        <v>76</v>
      </c>
      <c r="B21" s="18"/>
      <c r="C21" s="18"/>
      <c r="D21" s="18"/>
    </row>
    <row r="22" spans="1:4" x14ac:dyDescent="0.25">
      <c r="A22" s="10" t="s">
        <v>77</v>
      </c>
      <c r="B22" s="10" t="s">
        <v>78</v>
      </c>
    </row>
    <row r="23" spans="1:4" x14ac:dyDescent="0.25">
      <c r="A23" s="10" t="s">
        <v>79</v>
      </c>
      <c r="B23" s="10" t="s">
        <v>80</v>
      </c>
    </row>
    <row r="24" spans="1:4" x14ac:dyDescent="0.25">
      <c r="A24" s="10" t="s">
        <v>81</v>
      </c>
      <c r="B24" s="10" t="s">
        <v>82</v>
      </c>
    </row>
    <row r="25" spans="1:4" x14ac:dyDescent="0.25">
      <c r="A25" s="10" t="s">
        <v>83</v>
      </c>
      <c r="B25" s="10" t="s">
        <v>84</v>
      </c>
    </row>
    <row r="26" spans="1:4" ht="30" x14ac:dyDescent="0.25">
      <c r="A26" s="10" t="s">
        <v>85</v>
      </c>
      <c r="B26" s="10" t="s">
        <v>86</v>
      </c>
    </row>
    <row r="27" spans="1:4" ht="19.899999999999999" customHeight="1" x14ac:dyDescent="0.25">
      <c r="A27" s="115" t="s">
        <v>87</v>
      </c>
      <c r="B27" s="115"/>
      <c r="C27" s="115"/>
      <c r="D27" s="115"/>
    </row>
    <row r="28" spans="1:4" x14ac:dyDescent="0.25">
      <c r="A28" s="18"/>
      <c r="B28" s="18"/>
      <c r="C28" s="18"/>
      <c r="D28" s="18"/>
    </row>
    <row r="29" spans="1:4" ht="30" x14ac:dyDescent="0.25">
      <c r="A29" s="10" t="s">
        <v>88</v>
      </c>
    </row>
    <row r="30" spans="1:4" x14ac:dyDescent="0.25">
      <c r="A30" s="10" t="s">
        <v>77</v>
      </c>
      <c r="B30" s="10" t="s">
        <v>78</v>
      </c>
    </row>
    <row r="31" spans="1:4" x14ac:dyDescent="0.25">
      <c r="A31" s="10" t="s">
        <v>89</v>
      </c>
      <c r="B31" s="10" t="s">
        <v>90</v>
      </c>
    </row>
    <row r="32" spans="1:4" x14ac:dyDescent="0.25">
      <c r="A32" s="10" t="s">
        <v>91</v>
      </c>
      <c r="B32" s="10" t="s">
        <v>92</v>
      </c>
    </row>
    <row r="33" spans="1:4" x14ac:dyDescent="0.25">
      <c r="A33" s="10" t="s">
        <v>93</v>
      </c>
      <c r="B33" s="10" t="s">
        <v>94</v>
      </c>
    </row>
    <row r="34" spans="1:4" ht="19.899999999999999" customHeight="1" x14ac:dyDescent="0.25">
      <c r="A34" s="115" t="s">
        <v>95</v>
      </c>
      <c r="B34" s="115"/>
      <c r="C34" s="115"/>
      <c r="D34" s="115"/>
    </row>
    <row r="35" spans="1:4" ht="30" x14ac:dyDescent="0.25">
      <c r="A35" s="18" t="s">
        <v>87</v>
      </c>
      <c r="B35" s="18" t="s">
        <v>96</v>
      </c>
      <c r="C35" s="18"/>
      <c r="D35" s="18"/>
    </row>
    <row r="37" spans="1:4" x14ac:dyDescent="0.25">
      <c r="A37" s="10" t="s">
        <v>97</v>
      </c>
    </row>
    <row r="38" spans="1:4" x14ac:dyDescent="0.25">
      <c r="A38" s="10" t="s">
        <v>98</v>
      </c>
      <c r="B38" s="10" t="s">
        <v>99</v>
      </c>
      <c r="C38" s="10" t="s">
        <v>100</v>
      </c>
      <c r="D38" s="10" t="s">
        <v>101</v>
      </c>
    </row>
    <row r="39" spans="1:4" ht="30" x14ac:dyDescent="0.25">
      <c r="A39" s="10" t="s">
        <v>102</v>
      </c>
      <c r="B39" s="10" t="s">
        <v>103</v>
      </c>
      <c r="C39" s="10" t="s">
        <v>104</v>
      </c>
      <c r="D39" s="10" t="s">
        <v>105</v>
      </c>
    </row>
    <row r="40" spans="1:4" x14ac:dyDescent="0.25">
      <c r="A40" s="10" t="s">
        <v>106</v>
      </c>
      <c r="B40" s="10" t="s">
        <v>107</v>
      </c>
      <c r="C40" s="10" t="s">
        <v>108</v>
      </c>
      <c r="D40" s="10" t="s">
        <v>109</v>
      </c>
    </row>
    <row r="41" spans="1:4" x14ac:dyDescent="0.25">
      <c r="A41" s="10" t="s">
        <v>110</v>
      </c>
      <c r="B41" s="10" t="s">
        <v>111</v>
      </c>
      <c r="C41" s="10" t="s">
        <v>112</v>
      </c>
      <c r="D41" s="10" t="s">
        <v>113</v>
      </c>
    </row>
    <row r="42" spans="1:4" x14ac:dyDescent="0.25">
      <c r="A42" s="10" t="s">
        <v>114</v>
      </c>
      <c r="B42" s="10" t="s">
        <v>115</v>
      </c>
      <c r="C42" s="10" t="s">
        <v>116</v>
      </c>
      <c r="D42" s="10" t="s">
        <v>117</v>
      </c>
    </row>
  </sheetData>
  <mergeCells count="6">
    <mergeCell ref="A34:D34"/>
    <mergeCell ref="A1:D1"/>
    <mergeCell ref="A3:D3"/>
    <mergeCell ref="A13:D13"/>
    <mergeCell ref="A20:D20"/>
    <mergeCell ref="A27:D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EBFCF-2F2C-4B3B-B30E-AB8C0F88EEB2}">
  <sheetPr>
    <tabColor rgb="FF7030A0"/>
  </sheetPr>
  <dimension ref="A1:D34"/>
  <sheetViews>
    <sheetView topLeftCell="A12" workbookViewId="0">
      <selection sqref="A1:D1"/>
    </sheetView>
  </sheetViews>
  <sheetFormatPr baseColWidth="10" defaultRowHeight="15" x14ac:dyDescent="0.25"/>
  <cols>
    <col min="1" max="1" width="38.85546875" style="10" customWidth="1"/>
    <col min="2" max="2" width="55.5703125" style="10" customWidth="1"/>
    <col min="3" max="3" width="48.140625" style="10" customWidth="1"/>
    <col min="4" max="4" width="40.7109375" style="10" customWidth="1"/>
  </cols>
  <sheetData>
    <row r="1" spans="1:4" ht="30" customHeight="1" x14ac:dyDescent="0.3">
      <c r="A1" s="116" t="s">
        <v>118</v>
      </c>
      <c r="B1" s="116"/>
      <c r="C1" s="116"/>
      <c r="D1" s="116"/>
    </row>
    <row r="3" spans="1:4" ht="19.899999999999999" customHeight="1" x14ac:dyDescent="0.25">
      <c r="A3" s="117" t="s">
        <v>119</v>
      </c>
      <c r="B3" s="117"/>
      <c r="C3" s="117"/>
      <c r="D3" s="117"/>
    </row>
    <row r="4" spans="1:4" x14ac:dyDescent="0.25">
      <c r="A4" s="10" t="s">
        <v>120</v>
      </c>
      <c r="B4" s="10" t="s">
        <v>121</v>
      </c>
    </row>
    <row r="5" spans="1:4" ht="30" x14ac:dyDescent="0.25">
      <c r="A5" s="10" t="s">
        <v>122</v>
      </c>
      <c r="B5" s="10" t="s">
        <v>123</v>
      </c>
    </row>
    <row r="6" spans="1:4" ht="30" x14ac:dyDescent="0.25">
      <c r="A6" s="10" t="s">
        <v>124</v>
      </c>
      <c r="B6" s="10" t="s">
        <v>125</v>
      </c>
    </row>
    <row r="7" spans="1:4" ht="30" x14ac:dyDescent="0.25">
      <c r="A7" s="10" t="s">
        <v>126</v>
      </c>
      <c r="B7" s="10" t="s">
        <v>127</v>
      </c>
    </row>
    <row r="8" spans="1:4" ht="30" x14ac:dyDescent="0.25">
      <c r="A8" s="10" t="s">
        <v>128</v>
      </c>
      <c r="B8" s="10" t="s">
        <v>129</v>
      </c>
    </row>
    <row r="10" spans="1:4" ht="19.899999999999999" customHeight="1" x14ac:dyDescent="0.25">
      <c r="A10" s="117" t="s">
        <v>130</v>
      </c>
      <c r="B10" s="117"/>
      <c r="C10" s="117"/>
      <c r="D10" s="117"/>
    </row>
    <row r="11" spans="1:4" x14ac:dyDescent="0.25">
      <c r="A11" s="19" t="s">
        <v>131</v>
      </c>
      <c r="B11" s="19" t="s">
        <v>65</v>
      </c>
      <c r="C11" s="19" t="s">
        <v>132</v>
      </c>
      <c r="D11" s="19"/>
    </row>
    <row r="12" spans="1:4" ht="30" x14ac:dyDescent="0.25">
      <c r="A12" s="10" t="s">
        <v>133</v>
      </c>
      <c r="B12" s="10" t="s">
        <v>134</v>
      </c>
      <c r="C12" s="10" t="s">
        <v>135</v>
      </c>
    </row>
    <row r="13" spans="1:4" ht="30" x14ac:dyDescent="0.25">
      <c r="A13" s="10" t="s">
        <v>136</v>
      </c>
      <c r="B13" s="10" t="s">
        <v>137</v>
      </c>
      <c r="C13" s="10" t="s">
        <v>138</v>
      </c>
    </row>
    <row r="14" spans="1:4" ht="30" x14ac:dyDescent="0.25">
      <c r="A14" s="10" t="s">
        <v>139</v>
      </c>
      <c r="B14" s="10" t="s">
        <v>140</v>
      </c>
      <c r="C14" s="10" t="s">
        <v>141</v>
      </c>
    </row>
    <row r="15" spans="1:4" ht="30" x14ac:dyDescent="0.25">
      <c r="A15" s="10" t="s">
        <v>142</v>
      </c>
      <c r="B15" s="10" t="s">
        <v>143</v>
      </c>
      <c r="C15" s="10" t="s">
        <v>144</v>
      </c>
    </row>
    <row r="16" spans="1:4" x14ac:dyDescent="0.25">
      <c r="A16" s="10" t="s">
        <v>145</v>
      </c>
      <c r="B16" s="10" t="s">
        <v>146</v>
      </c>
      <c r="C16" s="10" t="s">
        <v>147</v>
      </c>
    </row>
    <row r="17" spans="1:4" x14ac:dyDescent="0.25">
      <c r="A17" s="10" t="s">
        <v>148</v>
      </c>
      <c r="B17" s="10" t="s">
        <v>149</v>
      </c>
      <c r="C17" s="10" t="s">
        <v>150</v>
      </c>
    </row>
    <row r="19" spans="1:4" ht="19.899999999999999" customHeight="1" x14ac:dyDescent="0.25">
      <c r="A19" s="117" t="s">
        <v>151</v>
      </c>
      <c r="B19" s="117"/>
      <c r="C19" s="117"/>
      <c r="D19" s="117"/>
    </row>
    <row r="20" spans="1:4" x14ac:dyDescent="0.25">
      <c r="A20" s="10" t="s">
        <v>152</v>
      </c>
      <c r="B20" s="10" t="s">
        <v>153</v>
      </c>
    </row>
    <row r="21" spans="1:4" ht="30" x14ac:dyDescent="0.25">
      <c r="A21" s="10" t="s">
        <v>154</v>
      </c>
      <c r="B21" s="10" t="s">
        <v>155</v>
      </c>
    </row>
    <row r="22" spans="1:4" ht="30" x14ac:dyDescent="0.25">
      <c r="A22" s="10" t="s">
        <v>156</v>
      </c>
      <c r="B22" s="10" t="s">
        <v>157</v>
      </c>
    </row>
    <row r="24" spans="1:4" ht="19.899999999999999" customHeight="1" x14ac:dyDescent="0.25">
      <c r="A24" s="117" t="s">
        <v>158</v>
      </c>
      <c r="B24" s="117"/>
      <c r="C24" s="117"/>
      <c r="D24" s="117"/>
    </row>
    <row r="25" spans="1:4" ht="30" x14ac:dyDescent="0.25">
      <c r="A25" s="10" t="s">
        <v>159</v>
      </c>
      <c r="B25" s="10" t="s">
        <v>160</v>
      </c>
    </row>
    <row r="26" spans="1:4" ht="30" x14ac:dyDescent="0.25">
      <c r="A26" s="10" t="s">
        <v>161</v>
      </c>
      <c r="B26" s="10" t="s">
        <v>162</v>
      </c>
    </row>
    <row r="27" spans="1:4" ht="30" x14ac:dyDescent="0.25">
      <c r="A27" s="10" t="s">
        <v>163</v>
      </c>
      <c r="B27" s="10" t="s">
        <v>164</v>
      </c>
    </row>
    <row r="29" spans="1:4" ht="19.899999999999999" customHeight="1" x14ac:dyDescent="0.25">
      <c r="A29" s="117" t="s">
        <v>165</v>
      </c>
      <c r="B29" s="117"/>
      <c r="C29" s="117"/>
      <c r="D29" s="117"/>
    </row>
    <row r="30" spans="1:4" x14ac:dyDescent="0.25">
      <c r="A30" s="19" t="s">
        <v>166</v>
      </c>
      <c r="B30" s="19" t="s">
        <v>167</v>
      </c>
      <c r="C30" s="19" t="s">
        <v>168</v>
      </c>
      <c r="D30" s="19" t="s">
        <v>169</v>
      </c>
    </row>
    <row r="31" spans="1:4" x14ac:dyDescent="0.25">
      <c r="A31" s="10" t="s">
        <v>170</v>
      </c>
      <c r="B31" s="10" t="s">
        <v>171</v>
      </c>
      <c r="C31" s="10" t="s">
        <v>172</v>
      </c>
      <c r="D31" s="10" t="s">
        <v>173</v>
      </c>
    </row>
    <row r="32" spans="1:4" ht="30" x14ac:dyDescent="0.25">
      <c r="A32" s="10" t="s">
        <v>174</v>
      </c>
      <c r="B32" s="10" t="s">
        <v>175</v>
      </c>
      <c r="C32" s="10" t="s">
        <v>176</v>
      </c>
      <c r="D32" s="10" t="s">
        <v>177</v>
      </c>
    </row>
    <row r="33" spans="1:4" ht="30" x14ac:dyDescent="0.25">
      <c r="A33" s="10" t="s">
        <v>178</v>
      </c>
      <c r="B33" s="10" t="s">
        <v>179</v>
      </c>
      <c r="C33" s="10" t="s">
        <v>180</v>
      </c>
      <c r="D33" s="10" t="s">
        <v>181</v>
      </c>
    </row>
    <row r="34" spans="1:4" ht="30" x14ac:dyDescent="0.25">
      <c r="A34" s="10" t="s">
        <v>182</v>
      </c>
      <c r="B34" s="10" t="s">
        <v>183</v>
      </c>
      <c r="C34" s="10" t="s">
        <v>184</v>
      </c>
      <c r="D34" s="10" t="s">
        <v>185</v>
      </c>
    </row>
  </sheetData>
  <mergeCells count="6">
    <mergeCell ref="A29:D29"/>
    <mergeCell ref="A1:D1"/>
    <mergeCell ref="A3:D3"/>
    <mergeCell ref="A10:D10"/>
    <mergeCell ref="A19:D19"/>
    <mergeCell ref="A24:D2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9EB76-0D7C-4A66-A847-F26F00210573}">
  <sheetPr>
    <tabColor rgb="FFC55A11"/>
  </sheetPr>
  <dimension ref="A1:E33"/>
  <sheetViews>
    <sheetView topLeftCell="B30" workbookViewId="0">
      <selection activeCell="D7" sqref="D7"/>
    </sheetView>
  </sheetViews>
  <sheetFormatPr baseColWidth="10" defaultRowHeight="15" x14ac:dyDescent="0.25"/>
  <cols>
    <col min="1" max="1" width="37" style="10" customWidth="1"/>
    <col min="2" max="2" width="29.7109375" style="10" customWidth="1"/>
    <col min="3" max="3" width="48.140625" style="10" customWidth="1"/>
    <col min="4" max="4" width="24.140625" style="10" customWidth="1"/>
    <col min="5" max="5" width="29.7109375" style="10" customWidth="1"/>
  </cols>
  <sheetData>
    <row r="1" spans="1:5" ht="30" customHeight="1" x14ac:dyDescent="0.3">
      <c r="A1" s="118" t="s">
        <v>186</v>
      </c>
      <c r="B1" s="118"/>
      <c r="C1" s="118"/>
      <c r="D1" s="118"/>
      <c r="E1" s="118"/>
    </row>
    <row r="3" spans="1:5" x14ac:dyDescent="0.25">
      <c r="A3" s="119" t="s">
        <v>187</v>
      </c>
      <c r="B3" s="119"/>
      <c r="C3" s="119"/>
      <c r="D3" s="119"/>
      <c r="E3" s="119"/>
    </row>
    <row r="4" spans="1:5" x14ac:dyDescent="0.25">
      <c r="A4" s="20" t="s">
        <v>188</v>
      </c>
      <c r="B4" s="20" t="s">
        <v>65</v>
      </c>
      <c r="C4" s="20" t="s">
        <v>189</v>
      </c>
      <c r="D4" s="20" t="s">
        <v>190</v>
      </c>
      <c r="E4" s="20" t="s">
        <v>191</v>
      </c>
    </row>
    <row r="5" spans="1:5" ht="30" x14ac:dyDescent="0.25">
      <c r="A5" s="14" t="s">
        <v>192</v>
      </c>
      <c r="B5" s="14" t="s">
        <v>193</v>
      </c>
      <c r="C5" s="14" t="s">
        <v>194</v>
      </c>
      <c r="D5" s="14" t="s">
        <v>844</v>
      </c>
      <c r="E5" s="14" t="s">
        <v>845</v>
      </c>
    </row>
    <row r="6" spans="1:5" ht="45" x14ac:dyDescent="0.25">
      <c r="A6" s="21" t="s">
        <v>195</v>
      </c>
      <c r="B6" s="21" t="s">
        <v>196</v>
      </c>
      <c r="C6" s="21" t="s">
        <v>197</v>
      </c>
      <c r="D6" s="21" t="s">
        <v>846</v>
      </c>
      <c r="E6" s="21" t="s">
        <v>847</v>
      </c>
    </row>
    <row r="7" spans="1:5" ht="30" x14ac:dyDescent="0.25">
      <c r="A7" s="14" t="s">
        <v>198</v>
      </c>
      <c r="B7" s="14" t="s">
        <v>199</v>
      </c>
      <c r="C7" s="14" t="s">
        <v>200</v>
      </c>
      <c r="D7" s="14" t="s">
        <v>848</v>
      </c>
      <c r="E7" s="14" t="s">
        <v>849</v>
      </c>
    </row>
    <row r="8" spans="1:5" ht="45" x14ac:dyDescent="0.25">
      <c r="A8" s="21" t="s">
        <v>201</v>
      </c>
      <c r="B8" s="21" t="s">
        <v>202</v>
      </c>
      <c r="C8" s="21" t="s">
        <v>203</v>
      </c>
      <c r="D8" s="21" t="s">
        <v>850</v>
      </c>
      <c r="E8" s="21" t="s">
        <v>851</v>
      </c>
    </row>
    <row r="9" spans="1:5" ht="30" x14ac:dyDescent="0.25">
      <c r="A9" s="14" t="s">
        <v>204</v>
      </c>
      <c r="B9" s="14" t="s">
        <v>205</v>
      </c>
      <c r="C9" s="14" t="s">
        <v>206</v>
      </c>
      <c r="D9" s="14" t="s">
        <v>852</v>
      </c>
      <c r="E9" s="14" t="s">
        <v>207</v>
      </c>
    </row>
    <row r="10" spans="1:5" ht="30" x14ac:dyDescent="0.25">
      <c r="A10" s="21" t="s">
        <v>208</v>
      </c>
      <c r="B10" s="21" t="s">
        <v>209</v>
      </c>
      <c r="C10" s="21" t="s">
        <v>210</v>
      </c>
      <c r="D10" s="22" t="s">
        <v>853</v>
      </c>
      <c r="E10" s="21" t="s">
        <v>854</v>
      </c>
    </row>
    <row r="12" spans="1:5" x14ac:dyDescent="0.25">
      <c r="A12" s="119" t="s">
        <v>211</v>
      </c>
      <c r="B12" s="119"/>
      <c r="C12" s="119"/>
      <c r="D12" s="119"/>
      <c r="E12" s="119"/>
    </row>
    <row r="13" spans="1:5" x14ac:dyDescent="0.25">
      <c r="A13" s="20" t="s">
        <v>188</v>
      </c>
      <c r="B13" s="20" t="s">
        <v>212</v>
      </c>
      <c r="C13" s="20" t="s">
        <v>65</v>
      </c>
      <c r="D13" s="20" t="s">
        <v>213</v>
      </c>
      <c r="E13" s="20"/>
    </row>
    <row r="14" spans="1:5" ht="30" x14ac:dyDescent="0.25">
      <c r="A14" s="21" t="s">
        <v>214</v>
      </c>
      <c r="B14" s="21" t="s">
        <v>215</v>
      </c>
      <c r="C14" s="21" t="s">
        <v>216</v>
      </c>
      <c r="D14" s="21" t="s">
        <v>855</v>
      </c>
      <c r="E14" s="21"/>
    </row>
    <row r="15" spans="1:5" ht="30" x14ac:dyDescent="0.25">
      <c r="A15" s="14" t="s">
        <v>217</v>
      </c>
      <c r="B15" s="14" t="s">
        <v>218</v>
      </c>
      <c r="C15" s="14" t="s">
        <v>219</v>
      </c>
      <c r="D15" s="14" t="s">
        <v>856</v>
      </c>
      <c r="E15" s="14"/>
    </row>
    <row r="16" spans="1:5" ht="30" x14ac:dyDescent="0.25">
      <c r="A16" s="21" t="s">
        <v>220</v>
      </c>
      <c r="B16" s="21" t="s">
        <v>218</v>
      </c>
      <c r="C16" s="21" t="s">
        <v>221</v>
      </c>
      <c r="D16" s="21" t="s">
        <v>857</v>
      </c>
      <c r="E16" s="21"/>
    </row>
    <row r="17" spans="1:5" ht="30" x14ac:dyDescent="0.25">
      <c r="A17" s="14" t="s">
        <v>222</v>
      </c>
      <c r="B17" s="14" t="s">
        <v>215</v>
      </c>
      <c r="C17" s="14" t="s">
        <v>223</v>
      </c>
      <c r="D17" s="14" t="s">
        <v>858</v>
      </c>
      <c r="E17" s="14"/>
    </row>
    <row r="18" spans="1:5" ht="30" x14ac:dyDescent="0.25">
      <c r="A18" s="21" t="s">
        <v>224</v>
      </c>
      <c r="B18" s="21" t="s">
        <v>225</v>
      </c>
      <c r="C18" s="21" t="s">
        <v>226</v>
      </c>
      <c r="D18" s="21" t="s">
        <v>859</v>
      </c>
      <c r="E18" s="21" t="s">
        <v>227</v>
      </c>
    </row>
    <row r="19" spans="1:5" x14ac:dyDescent="0.25">
      <c r="A19" s="119"/>
      <c r="B19" s="119"/>
      <c r="C19" s="119"/>
      <c r="D19" s="119"/>
      <c r="E19" s="119"/>
    </row>
    <row r="20" spans="1:5" x14ac:dyDescent="0.25">
      <c r="A20" s="20" t="s">
        <v>228</v>
      </c>
      <c r="B20" s="20"/>
      <c r="C20" s="20"/>
      <c r="D20" s="20"/>
      <c r="E20" s="20"/>
    </row>
    <row r="21" spans="1:5" x14ac:dyDescent="0.25">
      <c r="A21" s="14" t="s">
        <v>229</v>
      </c>
      <c r="B21" s="14" t="s">
        <v>65</v>
      </c>
      <c r="C21" s="14" t="s">
        <v>14</v>
      </c>
      <c r="D21" s="14" t="s">
        <v>860</v>
      </c>
      <c r="E21" s="14"/>
    </row>
    <row r="22" spans="1:5" ht="45" x14ac:dyDescent="0.25">
      <c r="A22" s="21" t="s">
        <v>230</v>
      </c>
      <c r="B22" s="21" t="s">
        <v>231</v>
      </c>
      <c r="C22" s="21" t="s">
        <v>232</v>
      </c>
      <c r="D22" s="21" t="s">
        <v>861</v>
      </c>
      <c r="E22" s="21"/>
    </row>
    <row r="23" spans="1:5" ht="45" x14ac:dyDescent="0.25">
      <c r="A23" s="14" t="s">
        <v>233</v>
      </c>
      <c r="B23" s="14" t="s">
        <v>234</v>
      </c>
      <c r="C23" s="14" t="s">
        <v>232</v>
      </c>
      <c r="D23" s="14" t="s">
        <v>862</v>
      </c>
      <c r="E23" s="14"/>
    </row>
    <row r="24" spans="1:5" ht="45" x14ac:dyDescent="0.25">
      <c r="A24" s="21" t="s">
        <v>235</v>
      </c>
      <c r="B24" s="21" t="s">
        <v>236</v>
      </c>
      <c r="C24" s="21" t="s">
        <v>237</v>
      </c>
      <c r="D24" s="21" t="s">
        <v>863</v>
      </c>
      <c r="E24" s="21"/>
    </row>
    <row r="25" spans="1:5" ht="45" x14ac:dyDescent="0.25">
      <c r="A25" s="14" t="s">
        <v>238</v>
      </c>
      <c r="B25" s="14" t="s">
        <v>239</v>
      </c>
      <c r="C25" s="14" t="s">
        <v>240</v>
      </c>
      <c r="D25" s="14" t="s">
        <v>864</v>
      </c>
      <c r="E25" s="14"/>
    </row>
    <row r="26" spans="1:5" ht="45" x14ac:dyDescent="0.25">
      <c r="A26" s="21" t="s">
        <v>241</v>
      </c>
      <c r="B26" s="21" t="s">
        <v>242</v>
      </c>
      <c r="C26" s="21" t="s">
        <v>243</v>
      </c>
      <c r="D26" s="21" t="s">
        <v>244</v>
      </c>
      <c r="E26" s="21"/>
    </row>
    <row r="27" spans="1:5" x14ac:dyDescent="0.25">
      <c r="A27" s="119"/>
      <c r="B27" s="119"/>
      <c r="C27" s="119"/>
      <c r="D27" s="119"/>
      <c r="E27" s="119"/>
    </row>
    <row r="28" spans="1:5" ht="30" x14ac:dyDescent="0.25">
      <c r="A28" s="20" t="s">
        <v>245</v>
      </c>
      <c r="B28" s="20"/>
      <c r="C28" s="20"/>
      <c r="D28" s="20"/>
      <c r="E28" s="20"/>
    </row>
    <row r="29" spans="1:5" x14ac:dyDescent="0.25">
      <c r="A29" s="14" t="s">
        <v>246</v>
      </c>
      <c r="B29" s="14" t="s">
        <v>247</v>
      </c>
      <c r="C29" s="14" t="s">
        <v>248</v>
      </c>
      <c r="D29" s="14" t="s">
        <v>865</v>
      </c>
      <c r="E29" s="14" t="s">
        <v>249</v>
      </c>
    </row>
    <row r="30" spans="1:5" x14ac:dyDescent="0.25">
      <c r="A30" s="21" t="s">
        <v>250</v>
      </c>
      <c r="B30" s="21" t="s">
        <v>251</v>
      </c>
      <c r="C30" s="21" t="s">
        <v>252</v>
      </c>
      <c r="D30" s="21" t="s">
        <v>866</v>
      </c>
      <c r="E30" s="21" t="s">
        <v>253</v>
      </c>
    </row>
    <row r="31" spans="1:5" ht="30" x14ac:dyDescent="0.25">
      <c r="A31" s="14" t="s">
        <v>254</v>
      </c>
      <c r="B31" s="14" t="s">
        <v>255</v>
      </c>
      <c r="C31" s="14" t="s">
        <v>256</v>
      </c>
      <c r="D31" s="14" t="s">
        <v>867</v>
      </c>
      <c r="E31" s="14" t="s">
        <v>257</v>
      </c>
    </row>
    <row r="32" spans="1:5" ht="30" x14ac:dyDescent="0.25">
      <c r="A32" s="21" t="s">
        <v>258</v>
      </c>
      <c r="B32" s="21" t="s">
        <v>259</v>
      </c>
      <c r="C32" s="21" t="s">
        <v>260</v>
      </c>
      <c r="D32" s="21" t="s">
        <v>868</v>
      </c>
      <c r="E32" s="21" t="s">
        <v>261</v>
      </c>
    </row>
    <row r="33" spans="1:5" ht="30" x14ac:dyDescent="0.25">
      <c r="A33" s="10" t="s">
        <v>262</v>
      </c>
      <c r="B33" s="10" t="s">
        <v>263</v>
      </c>
      <c r="C33" s="10" t="s">
        <v>264</v>
      </c>
      <c r="D33" s="10" t="s">
        <v>265</v>
      </c>
      <c r="E33" s="10" t="s">
        <v>266</v>
      </c>
    </row>
  </sheetData>
  <mergeCells count="5">
    <mergeCell ref="A1:E1"/>
    <mergeCell ref="A3:E3"/>
    <mergeCell ref="A12:E12"/>
    <mergeCell ref="A19:E19"/>
    <mergeCell ref="A27:E2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FA882-0868-429A-A039-196F67384A6F}">
  <sheetPr>
    <tabColor rgb="FF203864"/>
  </sheetPr>
  <dimension ref="A1:F39"/>
  <sheetViews>
    <sheetView workbookViewId="0">
      <selection sqref="A1:F1"/>
    </sheetView>
  </sheetViews>
  <sheetFormatPr baseColWidth="10" defaultRowHeight="15" x14ac:dyDescent="0.25"/>
  <cols>
    <col min="1" max="1" width="40.7109375" style="10" customWidth="1"/>
    <col min="2" max="2" width="46.28515625" style="10" customWidth="1"/>
    <col min="3" max="4" width="25.85546875" style="10" customWidth="1"/>
    <col min="5" max="5" width="22.28515625" style="10" customWidth="1"/>
    <col min="6" max="6" width="18.5703125" style="10" customWidth="1"/>
  </cols>
  <sheetData>
    <row r="1" spans="1:6" ht="30" customHeight="1" x14ac:dyDescent="0.3">
      <c r="A1" s="120" t="s">
        <v>267</v>
      </c>
      <c r="B1" s="120"/>
      <c r="C1" s="120"/>
      <c r="D1" s="120"/>
      <c r="E1" s="120"/>
      <c r="F1" s="120"/>
    </row>
    <row r="3" spans="1:6" x14ac:dyDescent="0.25">
      <c r="A3" s="121" t="s">
        <v>268</v>
      </c>
      <c r="B3" s="121"/>
      <c r="C3" s="121"/>
      <c r="D3" s="121"/>
      <c r="E3" s="121"/>
      <c r="F3" s="121"/>
    </row>
    <row r="4" spans="1:6" x14ac:dyDescent="0.25">
      <c r="A4" s="23" t="s">
        <v>269</v>
      </c>
      <c r="B4" s="23" t="s">
        <v>65</v>
      </c>
      <c r="C4" s="23" t="s">
        <v>270</v>
      </c>
      <c r="D4" s="23" t="s">
        <v>271</v>
      </c>
      <c r="E4" s="23" t="s">
        <v>272</v>
      </c>
      <c r="F4" s="23"/>
    </row>
    <row r="5" spans="1:6" x14ac:dyDescent="0.25">
      <c r="A5" s="10" t="s">
        <v>273</v>
      </c>
      <c r="B5" s="10" t="s">
        <v>274</v>
      </c>
      <c r="C5" s="10" t="s">
        <v>275</v>
      </c>
      <c r="D5" s="10" t="s">
        <v>869</v>
      </c>
      <c r="E5" s="10" t="s">
        <v>276</v>
      </c>
    </row>
    <row r="6" spans="1:6" x14ac:dyDescent="0.25">
      <c r="A6" s="10" t="s">
        <v>277</v>
      </c>
      <c r="B6" s="10" t="s">
        <v>278</v>
      </c>
      <c r="C6" s="10" t="s">
        <v>279</v>
      </c>
      <c r="D6" s="10" t="s">
        <v>870</v>
      </c>
      <c r="E6" s="10" t="s">
        <v>280</v>
      </c>
    </row>
    <row r="7" spans="1:6" x14ac:dyDescent="0.25">
      <c r="A7" s="10" t="s">
        <v>281</v>
      </c>
      <c r="B7" s="10" t="s">
        <v>282</v>
      </c>
      <c r="C7" s="10" t="s">
        <v>283</v>
      </c>
      <c r="D7" s="10" t="s">
        <v>871</v>
      </c>
      <c r="E7" s="10" t="s">
        <v>280</v>
      </c>
    </row>
    <row r="8" spans="1:6" x14ac:dyDescent="0.25">
      <c r="A8" s="10" t="s">
        <v>284</v>
      </c>
      <c r="B8" s="10" t="s">
        <v>285</v>
      </c>
      <c r="C8" s="10" t="s">
        <v>286</v>
      </c>
      <c r="D8" s="10" t="s">
        <v>872</v>
      </c>
      <c r="E8" s="10" t="s">
        <v>287</v>
      </c>
    </row>
    <row r="9" spans="1:6" x14ac:dyDescent="0.25">
      <c r="A9" s="10" t="s">
        <v>288</v>
      </c>
      <c r="B9" s="10" t="s">
        <v>289</v>
      </c>
      <c r="C9" s="10" t="s">
        <v>290</v>
      </c>
      <c r="D9" s="10" t="s">
        <v>873</v>
      </c>
      <c r="E9" s="10" t="s">
        <v>291</v>
      </c>
    </row>
    <row r="11" spans="1:6" x14ac:dyDescent="0.25">
      <c r="A11" s="121" t="s">
        <v>292</v>
      </c>
      <c r="B11" s="121"/>
      <c r="C11" s="121"/>
      <c r="D11" s="121"/>
      <c r="E11" s="121"/>
      <c r="F11" s="121"/>
    </row>
    <row r="12" spans="1:6" x14ac:dyDescent="0.25">
      <c r="A12" s="23" t="s">
        <v>293</v>
      </c>
      <c r="B12" s="23" t="s">
        <v>294</v>
      </c>
      <c r="C12" s="23" t="s">
        <v>295</v>
      </c>
      <c r="D12" s="23" t="s">
        <v>296</v>
      </c>
      <c r="E12" s="23" t="s">
        <v>297</v>
      </c>
      <c r="F12" s="23" t="s">
        <v>298</v>
      </c>
    </row>
    <row r="13" spans="1:6" x14ac:dyDescent="0.25">
      <c r="A13" s="10" t="s">
        <v>299</v>
      </c>
      <c r="B13" s="10">
        <v>1</v>
      </c>
      <c r="C13" s="24">
        <v>35000</v>
      </c>
      <c r="D13" s="24">
        <v>5250</v>
      </c>
      <c r="E13" s="24">
        <v>40250</v>
      </c>
      <c r="F13" s="10" t="s">
        <v>300</v>
      </c>
    </row>
    <row r="14" spans="1:6" x14ac:dyDescent="0.25">
      <c r="A14" s="10" t="s">
        <v>301</v>
      </c>
      <c r="B14" s="10">
        <v>3</v>
      </c>
      <c r="C14" s="24">
        <v>78750</v>
      </c>
      <c r="D14" s="24">
        <v>21000</v>
      </c>
      <c r="E14" s="24">
        <v>99750</v>
      </c>
      <c r="F14" s="10" t="s">
        <v>302</v>
      </c>
    </row>
    <row r="15" spans="1:6" x14ac:dyDescent="0.25">
      <c r="A15" s="10" t="s">
        <v>303</v>
      </c>
      <c r="B15" s="10">
        <v>5</v>
      </c>
      <c r="C15" s="24">
        <v>140000</v>
      </c>
      <c r="D15" s="24">
        <v>43750</v>
      </c>
      <c r="E15" s="24">
        <v>183750</v>
      </c>
      <c r="F15" s="10" t="s">
        <v>304</v>
      </c>
    </row>
    <row r="17" spans="1:6" x14ac:dyDescent="0.25">
      <c r="A17" s="121" t="s">
        <v>305</v>
      </c>
      <c r="B17" s="121"/>
      <c r="C17" s="121"/>
      <c r="D17" s="121"/>
      <c r="E17" s="121"/>
      <c r="F17" s="121"/>
    </row>
    <row r="18" spans="1:6" x14ac:dyDescent="0.25">
      <c r="A18" s="23" t="s">
        <v>293</v>
      </c>
      <c r="B18" s="23" t="s">
        <v>294</v>
      </c>
      <c r="C18" s="23" t="s">
        <v>295</v>
      </c>
      <c r="D18" s="23" t="s">
        <v>296</v>
      </c>
      <c r="E18" s="23" t="s">
        <v>297</v>
      </c>
      <c r="F18" s="23"/>
    </row>
    <row r="19" spans="1:6" x14ac:dyDescent="0.25">
      <c r="A19" s="10" t="s">
        <v>299</v>
      </c>
      <c r="B19" s="10">
        <v>5</v>
      </c>
      <c r="C19" s="24">
        <v>87500</v>
      </c>
      <c r="D19" s="24">
        <v>52500</v>
      </c>
      <c r="E19" s="24">
        <v>140000</v>
      </c>
    </row>
    <row r="20" spans="1:6" x14ac:dyDescent="0.25">
      <c r="A20" s="10" t="s">
        <v>301</v>
      </c>
      <c r="B20" s="10">
        <v>10</v>
      </c>
      <c r="C20" s="24">
        <v>175000</v>
      </c>
      <c r="D20" s="24">
        <v>105000</v>
      </c>
      <c r="E20" s="24">
        <v>280000</v>
      </c>
    </row>
    <row r="21" spans="1:6" x14ac:dyDescent="0.25">
      <c r="A21" s="10" t="s">
        <v>303</v>
      </c>
      <c r="B21" s="10">
        <v>18</v>
      </c>
      <c r="C21" s="24">
        <v>315000</v>
      </c>
      <c r="D21" s="24">
        <v>210000</v>
      </c>
      <c r="E21" s="24">
        <v>525000</v>
      </c>
    </row>
    <row r="23" spans="1:6" x14ac:dyDescent="0.25">
      <c r="A23" s="121" t="s">
        <v>306</v>
      </c>
      <c r="B23" s="121"/>
      <c r="C23" s="121"/>
      <c r="D23" s="121"/>
      <c r="E23" s="121"/>
      <c r="F23" s="121"/>
    </row>
    <row r="24" spans="1:6" x14ac:dyDescent="0.25">
      <c r="A24" s="23" t="s">
        <v>307</v>
      </c>
      <c r="B24" s="23" t="s">
        <v>308</v>
      </c>
      <c r="C24" s="23"/>
      <c r="D24" s="23"/>
      <c r="E24" s="23"/>
      <c r="F24" s="23"/>
    </row>
    <row r="25" spans="1:6" ht="30" x14ac:dyDescent="0.25">
      <c r="A25" s="10" t="s">
        <v>309</v>
      </c>
      <c r="B25" s="10" t="s">
        <v>310</v>
      </c>
    </row>
    <row r="26" spans="1:6" ht="30" x14ac:dyDescent="0.25">
      <c r="A26" s="10" t="s">
        <v>311</v>
      </c>
      <c r="B26" s="10" t="s">
        <v>312</v>
      </c>
    </row>
    <row r="27" spans="1:6" ht="30" x14ac:dyDescent="0.25">
      <c r="A27" s="10" t="s">
        <v>313</v>
      </c>
      <c r="B27" s="10" t="s">
        <v>314</v>
      </c>
    </row>
    <row r="28" spans="1:6" ht="30" x14ac:dyDescent="0.25">
      <c r="A28" s="10" t="s">
        <v>315</v>
      </c>
      <c r="B28" s="10" t="s">
        <v>317</v>
      </c>
    </row>
    <row r="29" spans="1:6" ht="30" x14ac:dyDescent="0.25">
      <c r="A29" s="10" t="s">
        <v>316</v>
      </c>
      <c r="B29" s="10" t="s">
        <v>317</v>
      </c>
    </row>
    <row r="31" spans="1:6" x14ac:dyDescent="0.25">
      <c r="A31" s="121" t="s">
        <v>318</v>
      </c>
      <c r="B31" s="121"/>
      <c r="C31" s="121"/>
      <c r="D31" s="121"/>
      <c r="E31" s="121"/>
      <c r="F31" s="121"/>
    </row>
    <row r="32" spans="1:6" x14ac:dyDescent="0.25">
      <c r="A32" s="23" t="s">
        <v>319</v>
      </c>
      <c r="B32" s="23" t="s">
        <v>320</v>
      </c>
      <c r="C32" s="23" t="s">
        <v>321</v>
      </c>
      <c r="D32" s="23"/>
      <c r="E32" s="23"/>
      <c r="F32" s="23"/>
    </row>
    <row r="33" spans="1:3" x14ac:dyDescent="0.25">
      <c r="A33" s="10" t="s">
        <v>322</v>
      </c>
      <c r="B33" s="10" t="s">
        <v>323</v>
      </c>
      <c r="C33" s="10" t="s">
        <v>874</v>
      </c>
    </row>
    <row r="34" spans="1:3" x14ac:dyDescent="0.25">
      <c r="A34" s="10" t="s">
        <v>324</v>
      </c>
      <c r="B34" s="10" t="s">
        <v>325</v>
      </c>
      <c r="C34" s="10" t="s">
        <v>875</v>
      </c>
    </row>
    <row r="35" spans="1:3" x14ac:dyDescent="0.25">
      <c r="A35" s="10" t="s">
        <v>326</v>
      </c>
      <c r="B35" s="10" t="s">
        <v>327</v>
      </c>
      <c r="C35" s="10" t="s">
        <v>876</v>
      </c>
    </row>
    <row r="36" spans="1:3" x14ac:dyDescent="0.25">
      <c r="A36" s="10" t="s">
        <v>328</v>
      </c>
      <c r="B36" s="10" t="s">
        <v>329</v>
      </c>
      <c r="C36" s="10" t="s">
        <v>877</v>
      </c>
    </row>
    <row r="37" spans="1:3" x14ac:dyDescent="0.25">
      <c r="A37" s="10" t="s">
        <v>330</v>
      </c>
      <c r="B37" s="10" t="s">
        <v>331</v>
      </c>
      <c r="C37" s="10" t="s">
        <v>332</v>
      </c>
    </row>
    <row r="38" spans="1:3" x14ac:dyDescent="0.25">
      <c r="A38" s="10" t="s">
        <v>333</v>
      </c>
      <c r="B38" s="10" t="s">
        <v>334</v>
      </c>
      <c r="C38" s="10" t="s">
        <v>58</v>
      </c>
    </row>
    <row r="39" spans="1:3" x14ac:dyDescent="0.25">
      <c r="A39" s="10" t="s">
        <v>335</v>
      </c>
      <c r="B39" s="10" t="s">
        <v>336</v>
      </c>
      <c r="C39" s="10" t="s">
        <v>878</v>
      </c>
    </row>
  </sheetData>
  <mergeCells count="6">
    <mergeCell ref="A31:F31"/>
    <mergeCell ref="A1:F1"/>
    <mergeCell ref="A3:F3"/>
    <mergeCell ref="A11:F11"/>
    <mergeCell ref="A17:F17"/>
    <mergeCell ref="A23:F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03537-AC16-4C2C-80BE-D97B4B9CA50D}">
  <sheetPr>
    <tabColor rgb="FF833C00"/>
  </sheetPr>
  <dimension ref="A1:E35"/>
  <sheetViews>
    <sheetView workbookViewId="0">
      <selection sqref="A1:E1"/>
    </sheetView>
  </sheetViews>
  <sheetFormatPr baseColWidth="10" defaultRowHeight="15" x14ac:dyDescent="0.25"/>
  <cols>
    <col min="1" max="1" width="37" style="10" customWidth="1"/>
    <col min="2" max="2" width="53.7109375" style="10" customWidth="1"/>
    <col min="3" max="3" width="24.140625" style="10" customWidth="1"/>
    <col min="4" max="4" width="29.7109375" style="10" customWidth="1"/>
    <col min="5" max="5" width="20.28515625" style="10" customWidth="1"/>
  </cols>
  <sheetData>
    <row r="1" spans="1:5" ht="30" customHeight="1" x14ac:dyDescent="0.3">
      <c r="A1" s="122" t="s">
        <v>337</v>
      </c>
      <c r="B1" s="122"/>
      <c r="C1" s="122"/>
      <c r="D1" s="122"/>
      <c r="E1" s="122"/>
    </row>
    <row r="3" spans="1:5" x14ac:dyDescent="0.25">
      <c r="A3" s="123" t="s">
        <v>338</v>
      </c>
      <c r="B3" s="123"/>
      <c r="C3" s="123"/>
      <c r="D3" s="123"/>
      <c r="E3" s="123"/>
    </row>
    <row r="4" spans="1:5" x14ac:dyDescent="0.25">
      <c r="A4" s="25" t="s">
        <v>339</v>
      </c>
      <c r="B4" s="25" t="s">
        <v>340</v>
      </c>
      <c r="C4" s="25" t="s">
        <v>341</v>
      </c>
      <c r="D4" s="25" t="s">
        <v>342</v>
      </c>
      <c r="E4" s="25" t="s">
        <v>343</v>
      </c>
    </row>
    <row r="5" spans="1:5" ht="30" x14ac:dyDescent="0.25">
      <c r="A5" s="10" t="s">
        <v>344</v>
      </c>
      <c r="B5" s="10" t="s">
        <v>345</v>
      </c>
      <c r="C5" s="24">
        <v>0</v>
      </c>
      <c r="D5" s="10" t="s">
        <v>346</v>
      </c>
      <c r="E5" s="10" t="s">
        <v>347</v>
      </c>
    </row>
    <row r="6" spans="1:5" ht="30" x14ac:dyDescent="0.25">
      <c r="A6" s="10" t="s">
        <v>348</v>
      </c>
      <c r="B6" s="10" t="s">
        <v>349</v>
      </c>
      <c r="C6" s="24">
        <v>0</v>
      </c>
      <c r="D6" s="10" t="s">
        <v>350</v>
      </c>
      <c r="E6" s="10" t="s">
        <v>347</v>
      </c>
    </row>
    <row r="7" spans="1:5" ht="30" x14ac:dyDescent="0.25">
      <c r="A7" s="10" t="s">
        <v>351</v>
      </c>
      <c r="B7" s="10" t="s">
        <v>352</v>
      </c>
      <c r="C7" s="24">
        <v>0</v>
      </c>
      <c r="D7" s="10" t="s">
        <v>353</v>
      </c>
      <c r="E7" s="10" t="s">
        <v>347</v>
      </c>
    </row>
    <row r="8" spans="1:5" ht="30" x14ac:dyDescent="0.25">
      <c r="A8" s="10" t="s">
        <v>354</v>
      </c>
      <c r="B8" s="10" t="s">
        <v>355</v>
      </c>
      <c r="C8" s="24">
        <v>0</v>
      </c>
      <c r="D8" s="10" t="s">
        <v>356</v>
      </c>
      <c r="E8" s="10" t="s">
        <v>357</v>
      </c>
    </row>
    <row r="9" spans="1:5" x14ac:dyDescent="0.25">
      <c r="A9" s="10" t="s">
        <v>358</v>
      </c>
      <c r="B9" s="10" t="s">
        <v>359</v>
      </c>
      <c r="C9" s="24" t="s">
        <v>879</v>
      </c>
      <c r="D9" s="10" t="s">
        <v>360</v>
      </c>
      <c r="E9" s="10" t="s">
        <v>357</v>
      </c>
    </row>
    <row r="10" spans="1:5" ht="30" x14ac:dyDescent="0.25">
      <c r="A10" s="10" t="s">
        <v>361</v>
      </c>
      <c r="B10" s="10" t="s">
        <v>362</v>
      </c>
      <c r="C10" s="24">
        <v>0</v>
      </c>
      <c r="D10" s="10" t="s">
        <v>363</v>
      </c>
      <c r="E10" s="10" t="s">
        <v>357</v>
      </c>
    </row>
    <row r="11" spans="1:5" x14ac:dyDescent="0.25">
      <c r="A11" s="123" t="s">
        <v>364</v>
      </c>
      <c r="B11" s="123"/>
      <c r="C11" s="123"/>
      <c r="D11" s="123"/>
      <c r="E11" s="123"/>
    </row>
    <row r="12" spans="1:5" ht="30" x14ac:dyDescent="0.25">
      <c r="A12" s="25" t="s">
        <v>365</v>
      </c>
      <c r="B12" s="25" t="s">
        <v>366</v>
      </c>
      <c r="C12" s="25" t="s">
        <v>367</v>
      </c>
      <c r="D12" s="25" t="s">
        <v>346</v>
      </c>
      <c r="E12" s="25" t="s">
        <v>368</v>
      </c>
    </row>
    <row r="14" spans="1:5" x14ac:dyDescent="0.25">
      <c r="A14" s="10" t="s">
        <v>369</v>
      </c>
    </row>
    <row r="15" spans="1:5" x14ac:dyDescent="0.25">
      <c r="A15" s="10" t="s">
        <v>370</v>
      </c>
      <c r="B15" s="10" t="s">
        <v>371</v>
      </c>
      <c r="C15" s="10" t="s">
        <v>372</v>
      </c>
      <c r="D15" s="10" t="s">
        <v>373</v>
      </c>
    </row>
    <row r="16" spans="1:5" x14ac:dyDescent="0.25">
      <c r="A16" s="10" t="s">
        <v>374</v>
      </c>
      <c r="B16" s="10" t="s">
        <v>375</v>
      </c>
      <c r="C16" s="10" t="s">
        <v>376</v>
      </c>
      <c r="D16" s="10" t="s">
        <v>377</v>
      </c>
    </row>
    <row r="17" spans="1:5" x14ac:dyDescent="0.25">
      <c r="A17" s="10" t="s">
        <v>378</v>
      </c>
      <c r="B17" s="10" t="s">
        <v>379</v>
      </c>
      <c r="C17" s="10" t="s">
        <v>380</v>
      </c>
      <c r="D17" s="10" t="s">
        <v>381</v>
      </c>
    </row>
    <row r="18" spans="1:5" ht="30" x14ac:dyDescent="0.25">
      <c r="A18" s="10" t="s">
        <v>382</v>
      </c>
      <c r="B18" s="10" t="s">
        <v>383</v>
      </c>
      <c r="C18" s="10" t="s">
        <v>384</v>
      </c>
      <c r="D18" s="10" t="s">
        <v>385</v>
      </c>
    </row>
    <row r="19" spans="1:5" x14ac:dyDescent="0.25">
      <c r="A19" s="10" t="s">
        <v>386</v>
      </c>
      <c r="B19" s="10" t="s">
        <v>387</v>
      </c>
      <c r="C19" s="10" t="s">
        <v>388</v>
      </c>
      <c r="D19" s="10" t="s">
        <v>389</v>
      </c>
    </row>
    <row r="20" spans="1:5" ht="30" x14ac:dyDescent="0.25">
      <c r="A20" s="10" t="s">
        <v>390</v>
      </c>
      <c r="B20" s="10" t="s">
        <v>391</v>
      </c>
      <c r="C20" s="10" t="s">
        <v>392</v>
      </c>
      <c r="D20" s="10" t="s">
        <v>393</v>
      </c>
    </row>
    <row r="21" spans="1:5" x14ac:dyDescent="0.25">
      <c r="A21" s="123" t="s">
        <v>394</v>
      </c>
      <c r="B21" s="123"/>
      <c r="C21" s="123"/>
      <c r="D21" s="123"/>
      <c r="E21" s="123"/>
    </row>
    <row r="22" spans="1:5" x14ac:dyDescent="0.25">
      <c r="A22" s="25"/>
      <c r="B22" s="25"/>
      <c r="C22" s="25"/>
      <c r="D22" s="25"/>
      <c r="E22" s="25"/>
    </row>
    <row r="23" spans="1:5" ht="30" x14ac:dyDescent="0.25">
      <c r="A23" s="10" t="s">
        <v>395</v>
      </c>
    </row>
    <row r="24" spans="1:5" x14ac:dyDescent="0.25">
      <c r="A24" s="10" t="s">
        <v>396</v>
      </c>
      <c r="B24" s="10" t="s">
        <v>397</v>
      </c>
      <c r="C24" s="10" t="s">
        <v>398</v>
      </c>
      <c r="D24" s="10" t="s">
        <v>399</v>
      </c>
    </row>
    <row r="25" spans="1:5" x14ac:dyDescent="0.25">
      <c r="A25" s="10" t="s">
        <v>400</v>
      </c>
      <c r="B25" s="10" t="s">
        <v>401</v>
      </c>
      <c r="C25" s="10" t="s">
        <v>402</v>
      </c>
      <c r="D25" s="10" t="s">
        <v>403</v>
      </c>
    </row>
    <row r="26" spans="1:5" ht="30" x14ac:dyDescent="0.25">
      <c r="A26" s="10" t="s">
        <v>404</v>
      </c>
      <c r="B26" s="10" t="s">
        <v>405</v>
      </c>
      <c r="C26" s="10" t="s">
        <v>406</v>
      </c>
      <c r="D26" s="10" t="s">
        <v>407</v>
      </c>
    </row>
    <row r="27" spans="1:5" ht="30" x14ac:dyDescent="0.25">
      <c r="A27" s="10" t="s">
        <v>408</v>
      </c>
      <c r="B27" s="10" t="s">
        <v>409</v>
      </c>
      <c r="C27" s="10" t="s">
        <v>410</v>
      </c>
      <c r="D27" s="10" t="s">
        <v>411</v>
      </c>
    </row>
    <row r="28" spans="1:5" x14ac:dyDescent="0.25">
      <c r="A28" s="123" t="s">
        <v>412</v>
      </c>
      <c r="B28" s="123"/>
      <c r="C28" s="123"/>
      <c r="D28" s="123"/>
      <c r="E28" s="123"/>
    </row>
    <row r="29" spans="1:5" x14ac:dyDescent="0.25">
      <c r="A29" s="25"/>
      <c r="B29" s="25"/>
      <c r="C29" s="25"/>
      <c r="D29" s="25"/>
      <c r="E29" s="25"/>
    </row>
    <row r="30" spans="1:5" ht="30" x14ac:dyDescent="0.25">
      <c r="A30" s="10" t="s">
        <v>413</v>
      </c>
      <c r="B30" s="10" t="s">
        <v>416</v>
      </c>
    </row>
    <row r="31" spans="1:5" ht="30" x14ac:dyDescent="0.25">
      <c r="A31" s="10" t="s">
        <v>414</v>
      </c>
      <c r="B31" s="10" t="s">
        <v>880</v>
      </c>
    </row>
    <row r="32" spans="1:5" ht="30" x14ac:dyDescent="0.25">
      <c r="A32" s="10" t="s">
        <v>415</v>
      </c>
      <c r="B32" s="10" t="s">
        <v>881</v>
      </c>
    </row>
    <row r="33" spans="1:2" ht="30" x14ac:dyDescent="0.25">
      <c r="A33" s="10" t="s">
        <v>417</v>
      </c>
      <c r="B33" s="10" t="s">
        <v>882</v>
      </c>
    </row>
    <row r="34" spans="1:2" ht="30" x14ac:dyDescent="0.25">
      <c r="A34" s="10" t="s">
        <v>418</v>
      </c>
      <c r="B34" s="10" t="s">
        <v>419</v>
      </c>
    </row>
    <row r="35" spans="1:2" ht="30" x14ac:dyDescent="0.25">
      <c r="A35" s="10" t="s">
        <v>420</v>
      </c>
      <c r="B35" s="10" t="s">
        <v>421</v>
      </c>
    </row>
  </sheetData>
  <mergeCells count="5">
    <mergeCell ref="A1:E1"/>
    <mergeCell ref="A3:E3"/>
    <mergeCell ref="A11:E11"/>
    <mergeCell ref="A21:E21"/>
    <mergeCell ref="A28:E2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5A0F4-8ECB-4EBD-8496-8CCCF0F1D879}">
  <sheetPr>
    <tabColor rgb="FF4472C4"/>
  </sheetPr>
  <dimension ref="A1:D39"/>
  <sheetViews>
    <sheetView topLeftCell="A13" workbookViewId="0">
      <selection sqref="A1:D1"/>
    </sheetView>
  </sheetViews>
  <sheetFormatPr baseColWidth="10" defaultRowHeight="15" x14ac:dyDescent="0.25"/>
  <cols>
    <col min="1" max="1" width="29.7109375" style="10" customWidth="1"/>
    <col min="2" max="2" width="57.42578125" style="10" customWidth="1"/>
    <col min="3" max="3" width="37" style="10" customWidth="1"/>
    <col min="4" max="4" width="14.7109375" style="10" customWidth="1"/>
  </cols>
  <sheetData>
    <row r="1" spans="1:4" ht="30" customHeight="1" x14ac:dyDescent="0.3">
      <c r="A1" s="124" t="s">
        <v>422</v>
      </c>
      <c r="B1" s="124"/>
      <c r="C1" s="124"/>
      <c r="D1" s="124"/>
    </row>
    <row r="3" spans="1:4" ht="24" customHeight="1" x14ac:dyDescent="0.25">
      <c r="A3" s="125" t="s">
        <v>423</v>
      </c>
      <c r="B3" s="125"/>
      <c r="C3" s="125"/>
      <c r="D3" s="125"/>
    </row>
    <row r="4" spans="1:4" x14ac:dyDescent="0.25">
      <c r="A4" s="26" t="s">
        <v>424</v>
      </c>
      <c r="B4" s="26" t="s">
        <v>425</v>
      </c>
      <c r="C4" s="26" t="s">
        <v>426</v>
      </c>
      <c r="D4" s="26"/>
    </row>
    <row r="5" spans="1:4" ht="30" x14ac:dyDescent="0.25">
      <c r="A5" s="10" t="s">
        <v>427</v>
      </c>
      <c r="B5" s="10" t="s">
        <v>428</v>
      </c>
      <c r="C5" s="10" t="s">
        <v>883</v>
      </c>
    </row>
    <row r="6" spans="1:4" ht="30" x14ac:dyDescent="0.25">
      <c r="A6" s="10" t="s">
        <v>429</v>
      </c>
      <c r="B6" s="10" t="s">
        <v>430</v>
      </c>
      <c r="C6" s="10" t="s">
        <v>884</v>
      </c>
    </row>
    <row r="7" spans="1:4" ht="30" x14ac:dyDescent="0.25">
      <c r="A7" s="10" t="s">
        <v>431</v>
      </c>
      <c r="B7" s="10" t="s">
        <v>432</v>
      </c>
      <c r="C7" s="10" t="s">
        <v>885</v>
      </c>
    </row>
    <row r="8" spans="1:4" x14ac:dyDescent="0.25">
      <c r="A8" s="10" t="s">
        <v>433</v>
      </c>
      <c r="B8" s="10" t="s">
        <v>434</v>
      </c>
      <c r="C8" s="10" t="s">
        <v>886</v>
      </c>
    </row>
    <row r="9" spans="1:4" x14ac:dyDescent="0.25">
      <c r="A9" s="10" t="s">
        <v>435</v>
      </c>
      <c r="B9" s="10" t="s">
        <v>436</v>
      </c>
      <c r="C9" s="10" t="s">
        <v>887</v>
      </c>
    </row>
    <row r="10" spans="1:4" ht="30" x14ac:dyDescent="0.25">
      <c r="A10" s="10" t="s">
        <v>437</v>
      </c>
      <c r="B10" s="10" t="s">
        <v>438</v>
      </c>
      <c r="C10" s="10" t="s">
        <v>439</v>
      </c>
    </row>
    <row r="11" spans="1:4" x14ac:dyDescent="0.25">
      <c r="A11" s="10" t="s">
        <v>440</v>
      </c>
      <c r="B11" s="10" t="s">
        <v>441</v>
      </c>
      <c r="C11" s="10" t="s">
        <v>442</v>
      </c>
    </row>
    <row r="12" spans="1:4" ht="24" customHeight="1" x14ac:dyDescent="0.25">
      <c r="A12" s="121"/>
      <c r="B12" s="121"/>
      <c r="C12" s="121"/>
      <c r="D12" s="121"/>
    </row>
    <row r="13" spans="1:4" ht="30" x14ac:dyDescent="0.25">
      <c r="A13" s="26" t="s">
        <v>443</v>
      </c>
      <c r="B13" s="26"/>
      <c r="C13" s="26"/>
      <c r="D13" s="26"/>
    </row>
    <row r="14" spans="1:4" x14ac:dyDescent="0.25">
      <c r="A14" s="10" t="s">
        <v>424</v>
      </c>
      <c r="B14" s="10" t="s">
        <v>425</v>
      </c>
      <c r="C14" s="10" t="s">
        <v>426</v>
      </c>
    </row>
    <row r="15" spans="1:4" x14ac:dyDescent="0.25">
      <c r="A15" s="10" t="s">
        <v>444</v>
      </c>
      <c r="B15" s="10" t="s">
        <v>445</v>
      </c>
      <c r="C15" s="10" t="s">
        <v>446</v>
      </c>
    </row>
    <row r="16" spans="1:4" x14ac:dyDescent="0.25">
      <c r="A16" s="10" t="s">
        <v>447</v>
      </c>
      <c r="B16" s="10" t="s">
        <v>448</v>
      </c>
      <c r="C16" s="10" t="s">
        <v>449</v>
      </c>
    </row>
    <row r="17" spans="1:4" ht="30" x14ac:dyDescent="0.25">
      <c r="A17" s="10" t="s">
        <v>450</v>
      </c>
      <c r="B17" s="10" t="s">
        <v>451</v>
      </c>
      <c r="C17" s="10" t="s">
        <v>452</v>
      </c>
    </row>
    <row r="18" spans="1:4" ht="30" x14ac:dyDescent="0.25">
      <c r="A18" s="10" t="s">
        <v>453</v>
      </c>
      <c r="B18" s="10" t="s">
        <v>454</v>
      </c>
      <c r="C18" s="10" t="s">
        <v>455</v>
      </c>
    </row>
    <row r="19" spans="1:4" x14ac:dyDescent="0.25">
      <c r="A19" s="10" t="s">
        <v>437</v>
      </c>
      <c r="B19" s="10" t="s">
        <v>456</v>
      </c>
      <c r="C19" s="10" t="s">
        <v>457</v>
      </c>
    </row>
    <row r="20" spans="1:4" ht="30" x14ac:dyDescent="0.25">
      <c r="A20" s="10" t="s">
        <v>458</v>
      </c>
      <c r="B20" s="10" t="s">
        <v>459</v>
      </c>
      <c r="C20" s="10" t="s">
        <v>460</v>
      </c>
    </row>
    <row r="21" spans="1:4" ht="24" customHeight="1" x14ac:dyDescent="0.25">
      <c r="A21" s="126" t="s">
        <v>229</v>
      </c>
      <c r="B21" s="126"/>
      <c r="C21" s="126"/>
      <c r="D21" s="126"/>
    </row>
    <row r="22" spans="1:4" x14ac:dyDescent="0.25">
      <c r="A22" s="26"/>
      <c r="B22" s="26"/>
      <c r="C22" s="26"/>
      <c r="D22" s="26"/>
    </row>
    <row r="23" spans="1:4" ht="30" x14ac:dyDescent="0.25">
      <c r="A23" s="10" t="s">
        <v>461</v>
      </c>
    </row>
    <row r="24" spans="1:4" x14ac:dyDescent="0.25">
      <c r="A24" s="10" t="s">
        <v>424</v>
      </c>
      <c r="B24" s="10" t="s">
        <v>425</v>
      </c>
      <c r="C24" s="10" t="s">
        <v>888</v>
      </c>
    </row>
    <row r="25" spans="1:4" x14ac:dyDescent="0.25">
      <c r="A25" s="10" t="s">
        <v>435</v>
      </c>
      <c r="B25" s="10" t="s">
        <v>462</v>
      </c>
      <c r="C25" s="10" t="s">
        <v>463</v>
      </c>
    </row>
    <row r="26" spans="1:4" ht="30" x14ac:dyDescent="0.25">
      <c r="A26" s="10" t="s">
        <v>447</v>
      </c>
      <c r="B26" s="10" t="s">
        <v>464</v>
      </c>
      <c r="C26" s="10" t="s">
        <v>465</v>
      </c>
    </row>
    <row r="27" spans="1:4" ht="30" x14ac:dyDescent="0.25">
      <c r="A27" s="10" t="s">
        <v>466</v>
      </c>
      <c r="B27" s="10" t="s">
        <v>467</v>
      </c>
      <c r="C27" s="10" t="s">
        <v>468</v>
      </c>
    </row>
    <row r="28" spans="1:4" x14ac:dyDescent="0.25">
      <c r="A28" s="10" t="s">
        <v>453</v>
      </c>
      <c r="B28" s="10" t="s">
        <v>469</v>
      </c>
      <c r="C28" s="10" t="s">
        <v>470</v>
      </c>
    </row>
    <row r="29" spans="1:4" ht="24" customHeight="1" x14ac:dyDescent="0.25">
      <c r="A29" s="123" t="s">
        <v>471</v>
      </c>
      <c r="B29" s="123"/>
      <c r="C29" s="123"/>
      <c r="D29" s="123"/>
    </row>
    <row r="30" spans="1:4" ht="30" x14ac:dyDescent="0.25">
      <c r="A30" s="26" t="s">
        <v>472</v>
      </c>
      <c r="B30" s="26" t="s">
        <v>473</v>
      </c>
      <c r="C30" s="26" t="s">
        <v>889</v>
      </c>
      <c r="D30" s="26"/>
    </row>
    <row r="32" spans="1:4" ht="30" x14ac:dyDescent="0.25">
      <c r="A32" s="10" t="s">
        <v>474</v>
      </c>
    </row>
    <row r="33" spans="1:3" x14ac:dyDescent="0.25">
      <c r="A33" s="10" t="s">
        <v>424</v>
      </c>
      <c r="B33" s="10" t="s">
        <v>425</v>
      </c>
      <c r="C33" s="10" t="s">
        <v>426</v>
      </c>
    </row>
    <row r="34" spans="1:3" x14ac:dyDescent="0.25">
      <c r="A34" s="10" t="s">
        <v>435</v>
      </c>
      <c r="B34" s="10" t="s">
        <v>475</v>
      </c>
      <c r="C34" s="10" t="s">
        <v>476</v>
      </c>
    </row>
    <row r="35" spans="1:3" x14ac:dyDescent="0.25">
      <c r="A35" s="10" t="s">
        <v>477</v>
      </c>
      <c r="B35" s="10" t="s">
        <v>478</v>
      </c>
      <c r="C35" s="10" t="s">
        <v>479</v>
      </c>
    </row>
    <row r="36" spans="1:3" x14ac:dyDescent="0.25">
      <c r="A36" s="10" t="s">
        <v>447</v>
      </c>
      <c r="B36" s="10" t="s">
        <v>480</v>
      </c>
      <c r="C36" s="10" t="s">
        <v>481</v>
      </c>
    </row>
    <row r="37" spans="1:3" x14ac:dyDescent="0.25">
      <c r="A37" s="10" t="s">
        <v>482</v>
      </c>
      <c r="B37" s="10" t="s">
        <v>483</v>
      </c>
      <c r="C37" s="10" t="s">
        <v>484</v>
      </c>
    </row>
    <row r="38" spans="1:3" x14ac:dyDescent="0.25">
      <c r="A38" s="10" t="s">
        <v>485</v>
      </c>
      <c r="B38" s="10" t="s">
        <v>486</v>
      </c>
      <c r="C38" s="10" t="s">
        <v>487</v>
      </c>
    </row>
    <row r="39" spans="1:3" x14ac:dyDescent="0.25">
      <c r="A39" s="10" t="s">
        <v>488</v>
      </c>
      <c r="B39" s="10" t="s">
        <v>489</v>
      </c>
      <c r="C39" s="10" t="s">
        <v>490</v>
      </c>
    </row>
  </sheetData>
  <mergeCells count="5">
    <mergeCell ref="A1:D1"/>
    <mergeCell ref="A3:D3"/>
    <mergeCell ref="A12:D12"/>
    <mergeCell ref="A21:D21"/>
    <mergeCell ref="A29:D2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35463-6B08-4FC5-BB76-D46E59D34CD6}">
  <sheetPr>
    <tabColor rgb="FF4A4A4A"/>
  </sheetPr>
  <dimension ref="A1:D41"/>
  <sheetViews>
    <sheetView workbookViewId="0">
      <selection sqref="A1:D1"/>
    </sheetView>
  </sheetViews>
  <sheetFormatPr baseColWidth="10" defaultRowHeight="15" x14ac:dyDescent="0.25"/>
  <cols>
    <col min="1" max="1" width="37" style="10" customWidth="1"/>
    <col min="2" max="2" width="50" style="10" customWidth="1"/>
    <col min="3" max="3" width="37" style="10" customWidth="1"/>
    <col min="4" max="4" width="14.7109375" style="10" customWidth="1"/>
  </cols>
  <sheetData>
    <row r="1" spans="1:4" ht="30" customHeight="1" x14ac:dyDescent="0.3">
      <c r="A1" s="127" t="s">
        <v>491</v>
      </c>
      <c r="B1" s="127"/>
      <c r="C1" s="127"/>
      <c r="D1" s="127"/>
    </row>
    <row r="3" spans="1:4" x14ac:dyDescent="0.25">
      <c r="A3" s="128" t="s">
        <v>492</v>
      </c>
      <c r="B3" s="128"/>
      <c r="C3" s="128"/>
      <c r="D3" s="128"/>
    </row>
    <row r="4" spans="1:4" x14ac:dyDescent="0.25">
      <c r="A4" s="27" t="s">
        <v>493</v>
      </c>
      <c r="B4" s="27" t="s">
        <v>494</v>
      </c>
      <c r="C4" s="27" t="s">
        <v>495</v>
      </c>
      <c r="D4" s="27"/>
    </row>
    <row r="5" spans="1:4" ht="30" x14ac:dyDescent="0.25">
      <c r="A5" s="10" t="s">
        <v>496</v>
      </c>
      <c r="B5" s="10" t="s">
        <v>497</v>
      </c>
      <c r="C5" s="10" t="s">
        <v>498</v>
      </c>
    </row>
    <row r="6" spans="1:4" ht="30" x14ac:dyDescent="0.25">
      <c r="A6" s="10" t="s">
        <v>499</v>
      </c>
      <c r="B6" s="10" t="s">
        <v>500</v>
      </c>
      <c r="C6" s="10" t="s">
        <v>498</v>
      </c>
    </row>
    <row r="7" spans="1:4" ht="30" x14ac:dyDescent="0.25">
      <c r="A7" s="10" t="s">
        <v>501</v>
      </c>
      <c r="B7" s="10" t="s">
        <v>502</v>
      </c>
      <c r="C7" s="10" t="s">
        <v>503</v>
      </c>
    </row>
    <row r="9" spans="1:4" x14ac:dyDescent="0.25">
      <c r="A9" s="128" t="s">
        <v>504</v>
      </c>
      <c r="B9" s="128"/>
      <c r="C9" s="128"/>
      <c r="D9" s="128"/>
    </row>
    <row r="10" spans="1:4" x14ac:dyDescent="0.25">
      <c r="A10" s="27" t="s">
        <v>505</v>
      </c>
      <c r="B10" s="27" t="s">
        <v>506</v>
      </c>
      <c r="C10" s="27" t="s">
        <v>507</v>
      </c>
      <c r="D10" s="27"/>
    </row>
    <row r="11" spans="1:4" ht="30" x14ac:dyDescent="0.25">
      <c r="A11" s="10" t="s">
        <v>508</v>
      </c>
      <c r="B11" s="10" t="s">
        <v>509</v>
      </c>
      <c r="C11" s="10" t="s">
        <v>510</v>
      </c>
    </row>
    <row r="12" spans="1:4" x14ac:dyDescent="0.25">
      <c r="A12" s="10" t="s">
        <v>511</v>
      </c>
      <c r="B12" s="10" t="s">
        <v>512</v>
      </c>
      <c r="C12" s="10" t="s">
        <v>513</v>
      </c>
    </row>
    <row r="13" spans="1:4" x14ac:dyDescent="0.25">
      <c r="A13" s="10" t="s">
        <v>514</v>
      </c>
      <c r="B13" s="10" t="s">
        <v>515</v>
      </c>
      <c r="C13" s="10" t="s">
        <v>516</v>
      </c>
    </row>
    <row r="14" spans="1:4" x14ac:dyDescent="0.25">
      <c r="A14" s="10" t="s">
        <v>517</v>
      </c>
      <c r="B14" s="10" t="s">
        <v>518</v>
      </c>
      <c r="C14" s="10" t="s">
        <v>519</v>
      </c>
    </row>
    <row r="15" spans="1:4" x14ac:dyDescent="0.25">
      <c r="A15" s="10" t="s">
        <v>520</v>
      </c>
      <c r="B15" s="10" t="s">
        <v>521</v>
      </c>
      <c r="C15" s="10" t="s">
        <v>521</v>
      </c>
    </row>
    <row r="17" spans="1:4" x14ac:dyDescent="0.25">
      <c r="A17" s="128" t="s">
        <v>522</v>
      </c>
      <c r="B17" s="128"/>
      <c r="C17" s="128"/>
      <c r="D17" s="128"/>
    </row>
    <row r="18" spans="1:4" x14ac:dyDescent="0.25">
      <c r="A18" s="27" t="s">
        <v>523</v>
      </c>
      <c r="B18" s="27" t="s">
        <v>524</v>
      </c>
      <c r="C18" s="27" t="s">
        <v>525</v>
      </c>
      <c r="D18" s="27"/>
    </row>
    <row r="19" spans="1:4" ht="30" x14ac:dyDescent="0.25">
      <c r="A19" s="10" t="s">
        <v>526</v>
      </c>
      <c r="B19" s="10" t="s">
        <v>527</v>
      </c>
      <c r="C19" s="10" t="s">
        <v>528</v>
      </c>
    </row>
    <row r="20" spans="1:4" ht="30" x14ac:dyDescent="0.25">
      <c r="A20" s="10" t="s">
        <v>529</v>
      </c>
      <c r="B20" s="10" t="s">
        <v>530</v>
      </c>
      <c r="C20" s="10" t="s">
        <v>531</v>
      </c>
    </row>
    <row r="21" spans="1:4" ht="30" x14ac:dyDescent="0.25">
      <c r="A21" s="10" t="s">
        <v>532</v>
      </c>
      <c r="B21" s="10" t="s">
        <v>533</v>
      </c>
      <c r="C21" s="10" t="s">
        <v>534</v>
      </c>
    </row>
    <row r="22" spans="1:4" ht="30" x14ac:dyDescent="0.25">
      <c r="A22" s="10" t="s">
        <v>535</v>
      </c>
      <c r="B22" s="10" t="s">
        <v>536</v>
      </c>
      <c r="C22" s="10" t="s">
        <v>537</v>
      </c>
    </row>
    <row r="23" spans="1:4" x14ac:dyDescent="0.25">
      <c r="A23" s="128"/>
      <c r="B23" s="128"/>
      <c r="C23" s="128"/>
      <c r="D23" s="128"/>
    </row>
    <row r="24" spans="1:4" ht="30" x14ac:dyDescent="0.25">
      <c r="A24" s="27" t="s">
        <v>538</v>
      </c>
      <c r="B24" s="27"/>
      <c r="C24" s="27"/>
      <c r="D24" s="27"/>
    </row>
    <row r="25" spans="1:4" x14ac:dyDescent="0.25">
      <c r="A25" s="10" t="s">
        <v>539</v>
      </c>
      <c r="B25" s="10" t="s">
        <v>372</v>
      </c>
      <c r="C25" s="10" t="s">
        <v>540</v>
      </c>
    </row>
    <row r="26" spans="1:4" x14ac:dyDescent="0.25">
      <c r="A26" s="10" t="s">
        <v>541</v>
      </c>
      <c r="B26" s="10" t="s">
        <v>542</v>
      </c>
      <c r="C26" s="10" t="s">
        <v>543</v>
      </c>
    </row>
    <row r="27" spans="1:4" x14ac:dyDescent="0.25">
      <c r="A27" s="10" t="s">
        <v>544</v>
      </c>
      <c r="B27" s="10" t="s">
        <v>545</v>
      </c>
      <c r="C27" s="10" t="s">
        <v>546</v>
      </c>
    </row>
    <row r="28" spans="1:4" x14ac:dyDescent="0.25">
      <c r="A28" s="10" t="s">
        <v>547</v>
      </c>
      <c r="B28" s="10" t="s">
        <v>548</v>
      </c>
      <c r="C28" s="10" t="s">
        <v>549</v>
      </c>
    </row>
    <row r="29" spans="1:4" x14ac:dyDescent="0.25">
      <c r="A29" s="10" t="s">
        <v>550</v>
      </c>
      <c r="B29" s="10" t="s">
        <v>551</v>
      </c>
      <c r="C29" s="10" t="s">
        <v>552</v>
      </c>
    </row>
    <row r="30" spans="1:4" x14ac:dyDescent="0.25">
      <c r="A30" s="10" t="s">
        <v>553</v>
      </c>
      <c r="B30" s="10" t="s">
        <v>554</v>
      </c>
      <c r="C30" s="10" t="s">
        <v>549</v>
      </c>
    </row>
    <row r="31" spans="1:4" x14ac:dyDescent="0.25">
      <c r="A31" s="128" t="s">
        <v>555</v>
      </c>
      <c r="B31" s="128"/>
      <c r="C31" s="128"/>
      <c r="D31" s="128"/>
    </row>
    <row r="32" spans="1:4" x14ac:dyDescent="0.25">
      <c r="A32" s="27"/>
      <c r="B32" s="27"/>
      <c r="C32" s="27"/>
      <c r="D32" s="27"/>
    </row>
    <row r="33" spans="1:3" x14ac:dyDescent="0.25">
      <c r="A33" s="10" t="s">
        <v>556</v>
      </c>
    </row>
    <row r="34" spans="1:3" x14ac:dyDescent="0.25">
      <c r="A34" s="10" t="s">
        <v>424</v>
      </c>
      <c r="B34" s="10" t="s">
        <v>372</v>
      </c>
      <c r="C34" s="10" t="s">
        <v>557</v>
      </c>
    </row>
    <row r="35" spans="1:3" x14ac:dyDescent="0.25">
      <c r="A35" s="10" t="s">
        <v>558</v>
      </c>
      <c r="B35" s="10" t="s">
        <v>559</v>
      </c>
      <c r="C35" s="10" t="s">
        <v>560</v>
      </c>
    </row>
    <row r="36" spans="1:3" x14ac:dyDescent="0.25">
      <c r="A36" s="10" t="s">
        <v>561</v>
      </c>
      <c r="B36" s="10" t="s">
        <v>562</v>
      </c>
      <c r="C36" s="10" t="s">
        <v>560</v>
      </c>
    </row>
    <row r="37" spans="1:3" x14ac:dyDescent="0.25">
      <c r="A37" s="10" t="s">
        <v>563</v>
      </c>
      <c r="B37" s="10" t="s">
        <v>564</v>
      </c>
      <c r="C37" s="10" t="s">
        <v>560</v>
      </c>
    </row>
    <row r="38" spans="1:3" x14ac:dyDescent="0.25">
      <c r="A38" s="10" t="s">
        <v>565</v>
      </c>
      <c r="B38" s="10" t="s">
        <v>566</v>
      </c>
      <c r="C38" s="10" t="s">
        <v>560</v>
      </c>
    </row>
    <row r="39" spans="1:3" x14ac:dyDescent="0.25">
      <c r="A39" s="10" t="s">
        <v>567</v>
      </c>
      <c r="B39" s="10" t="s">
        <v>568</v>
      </c>
      <c r="C39" s="10" t="s">
        <v>560</v>
      </c>
    </row>
    <row r="40" spans="1:3" x14ac:dyDescent="0.25">
      <c r="A40" s="10" t="s">
        <v>569</v>
      </c>
      <c r="B40" s="10" t="s">
        <v>570</v>
      </c>
      <c r="C40" s="10" t="s">
        <v>571</v>
      </c>
    </row>
    <row r="41" spans="1:3" x14ac:dyDescent="0.25">
      <c r="A41" s="10" t="s">
        <v>572</v>
      </c>
      <c r="B41" s="10" t="s">
        <v>573</v>
      </c>
      <c r="C41" s="10" t="s">
        <v>574</v>
      </c>
    </row>
  </sheetData>
  <mergeCells count="6">
    <mergeCell ref="A31:D31"/>
    <mergeCell ref="A1:D1"/>
    <mergeCell ref="A3:D3"/>
    <mergeCell ref="A9:D9"/>
    <mergeCell ref="A17:D17"/>
    <mergeCell ref="A23:D2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13FA9-A2DD-47D1-954D-FEB7EB97CFA9}">
  <sheetPr>
    <tabColor rgb="FF00B0F0"/>
  </sheetPr>
  <dimension ref="A1:E41"/>
  <sheetViews>
    <sheetView topLeftCell="A23" workbookViewId="0">
      <selection activeCell="B11" sqref="B11"/>
    </sheetView>
  </sheetViews>
  <sheetFormatPr baseColWidth="10" defaultRowHeight="15" x14ac:dyDescent="0.25"/>
  <cols>
    <col min="1" max="1" width="31.42578125" style="10" customWidth="1"/>
    <col min="2" max="2" width="42.5703125" style="10" customWidth="1"/>
    <col min="3" max="3" width="40.7109375" style="10" customWidth="1"/>
    <col min="4" max="4" width="20.28515625" style="10" customWidth="1"/>
    <col min="5" max="5" width="22.28515625" style="10" customWidth="1"/>
  </cols>
  <sheetData>
    <row r="1" spans="1:5" ht="30" customHeight="1" x14ac:dyDescent="0.3">
      <c r="A1" s="129" t="s">
        <v>575</v>
      </c>
      <c r="B1" s="129"/>
      <c r="C1" s="129"/>
      <c r="D1" s="129"/>
      <c r="E1" s="129"/>
    </row>
    <row r="3" spans="1:5" x14ac:dyDescent="0.25">
      <c r="A3" s="130" t="s">
        <v>576</v>
      </c>
      <c r="B3" s="130"/>
      <c r="C3" s="130"/>
      <c r="D3" s="130"/>
      <c r="E3" s="130"/>
    </row>
    <row r="4" spans="1:5" x14ac:dyDescent="0.25">
      <c r="A4" s="28" t="s">
        <v>577</v>
      </c>
      <c r="B4" s="28" t="s">
        <v>372</v>
      </c>
      <c r="C4" s="28" t="s">
        <v>578</v>
      </c>
      <c r="D4" s="28" t="s">
        <v>579</v>
      </c>
      <c r="E4" s="28" t="s">
        <v>343</v>
      </c>
    </row>
    <row r="5" spans="1:5" x14ac:dyDescent="0.25">
      <c r="A5" s="10" t="s">
        <v>580</v>
      </c>
      <c r="B5" s="10" t="s">
        <v>584</v>
      </c>
      <c r="C5" s="10" t="s">
        <v>581</v>
      </c>
      <c r="D5" s="10" t="s">
        <v>890</v>
      </c>
      <c r="E5" s="10" t="s">
        <v>582</v>
      </c>
    </row>
    <row r="6" spans="1:5" x14ac:dyDescent="0.25">
      <c r="A6" s="10" t="s">
        <v>583</v>
      </c>
      <c r="B6" s="10" t="s">
        <v>968</v>
      </c>
      <c r="C6" s="10" t="s">
        <v>585</v>
      </c>
      <c r="D6" s="10" t="s">
        <v>891</v>
      </c>
      <c r="E6" s="10" t="s">
        <v>582</v>
      </c>
    </row>
    <row r="7" spans="1:5" x14ac:dyDescent="0.25">
      <c r="A7" s="10" t="s">
        <v>586</v>
      </c>
      <c r="B7" s="10" t="s">
        <v>587</v>
      </c>
      <c r="C7" s="10" t="s">
        <v>588</v>
      </c>
      <c r="D7" s="10" t="s">
        <v>892</v>
      </c>
      <c r="E7" s="10" t="s">
        <v>582</v>
      </c>
    </row>
    <row r="8" spans="1:5" x14ac:dyDescent="0.25">
      <c r="A8" s="10" t="s">
        <v>589</v>
      </c>
      <c r="B8" s="10" t="s">
        <v>590</v>
      </c>
      <c r="C8" s="10" t="s">
        <v>591</v>
      </c>
      <c r="D8" s="10" t="s">
        <v>893</v>
      </c>
      <c r="E8" s="10" t="s">
        <v>592</v>
      </c>
    </row>
    <row r="9" spans="1:5" x14ac:dyDescent="0.25">
      <c r="A9" s="10" t="s">
        <v>593</v>
      </c>
      <c r="B9" s="10" t="s">
        <v>594</v>
      </c>
      <c r="C9" s="10" t="s">
        <v>595</v>
      </c>
      <c r="D9" s="10" t="s">
        <v>894</v>
      </c>
      <c r="E9" s="10" t="s">
        <v>582</v>
      </c>
    </row>
    <row r="10" spans="1:5" x14ac:dyDescent="0.25">
      <c r="A10" s="10" t="s">
        <v>596</v>
      </c>
      <c r="B10" s="10" t="s">
        <v>597</v>
      </c>
      <c r="C10" s="10" t="s">
        <v>598</v>
      </c>
      <c r="D10" s="10" t="s">
        <v>895</v>
      </c>
      <c r="E10" s="10" t="s">
        <v>357</v>
      </c>
    </row>
    <row r="11" spans="1:5" x14ac:dyDescent="0.25">
      <c r="A11" s="10" t="s">
        <v>599</v>
      </c>
      <c r="B11" s="10" t="s">
        <v>600</v>
      </c>
      <c r="C11" s="10" t="s">
        <v>601</v>
      </c>
      <c r="D11" s="10" t="s">
        <v>896</v>
      </c>
      <c r="E11" s="10" t="s">
        <v>357</v>
      </c>
    </row>
    <row r="12" spans="1:5" x14ac:dyDescent="0.25">
      <c r="A12" s="10" t="s">
        <v>603</v>
      </c>
      <c r="B12" s="10" t="s">
        <v>604</v>
      </c>
      <c r="C12" s="10" t="s">
        <v>605</v>
      </c>
      <c r="D12" s="10" t="s">
        <v>897</v>
      </c>
      <c r="E12" s="10" t="s">
        <v>582</v>
      </c>
    </row>
    <row r="13" spans="1:5" x14ac:dyDescent="0.25">
      <c r="A13" s="130" t="s">
        <v>606</v>
      </c>
      <c r="B13" s="130"/>
      <c r="C13" s="130"/>
      <c r="D13" s="130"/>
      <c r="E13" s="130"/>
    </row>
    <row r="14" spans="1:5" x14ac:dyDescent="0.25">
      <c r="A14" s="28" t="s">
        <v>607</v>
      </c>
      <c r="B14" s="28" t="s">
        <v>608</v>
      </c>
      <c r="C14" s="28" t="s">
        <v>609</v>
      </c>
      <c r="D14" s="28" t="s">
        <v>896</v>
      </c>
      <c r="E14" s="28" t="s">
        <v>357</v>
      </c>
    </row>
    <row r="16" spans="1:5" ht="30" x14ac:dyDescent="0.25">
      <c r="A16" s="10" t="s">
        <v>610</v>
      </c>
      <c r="D16" s="10" t="s">
        <v>898</v>
      </c>
    </row>
    <row r="17" spans="1:5" x14ac:dyDescent="0.25">
      <c r="A17" s="10" t="s">
        <v>577</v>
      </c>
      <c r="B17" s="10" t="s">
        <v>372</v>
      </c>
      <c r="C17" s="10" t="s">
        <v>578</v>
      </c>
      <c r="D17" s="10" t="s">
        <v>896</v>
      </c>
    </row>
    <row r="18" spans="1:5" x14ac:dyDescent="0.25">
      <c r="A18" s="10" t="s">
        <v>85</v>
      </c>
      <c r="B18" s="10" t="s">
        <v>611</v>
      </c>
      <c r="C18" s="10" t="s">
        <v>612</v>
      </c>
      <c r="D18" s="10" t="s">
        <v>899</v>
      </c>
    </row>
    <row r="19" spans="1:5" x14ac:dyDescent="0.25">
      <c r="A19" s="10" t="s">
        <v>613</v>
      </c>
      <c r="B19" s="10" t="s">
        <v>614</v>
      </c>
      <c r="C19" s="10" t="s">
        <v>615</v>
      </c>
      <c r="D19" s="10" t="s">
        <v>622</v>
      </c>
    </row>
    <row r="20" spans="1:5" x14ac:dyDescent="0.25">
      <c r="A20" s="10" t="s">
        <v>616</v>
      </c>
      <c r="B20" s="10" t="s">
        <v>617</v>
      </c>
      <c r="C20" s="10" t="s">
        <v>618</v>
      </c>
      <c r="D20" s="10" t="s">
        <v>900</v>
      </c>
    </row>
    <row r="21" spans="1:5" x14ac:dyDescent="0.25">
      <c r="A21" s="10" t="s">
        <v>619</v>
      </c>
      <c r="B21" s="10" t="s">
        <v>620</v>
      </c>
      <c r="C21" s="10" t="s">
        <v>621</v>
      </c>
      <c r="D21" s="10" t="s">
        <v>896</v>
      </c>
    </row>
    <row r="22" spans="1:5" x14ac:dyDescent="0.25">
      <c r="A22" s="130" t="s">
        <v>623</v>
      </c>
      <c r="B22" s="130"/>
      <c r="C22" s="130"/>
      <c r="D22" s="130"/>
      <c r="E22" s="130"/>
    </row>
    <row r="23" spans="1:5" x14ac:dyDescent="0.25">
      <c r="A23" s="28" t="s">
        <v>624</v>
      </c>
      <c r="B23" s="28" t="s">
        <v>625</v>
      </c>
      <c r="C23" s="28" t="s">
        <v>626</v>
      </c>
      <c r="D23" s="28" t="s">
        <v>602</v>
      </c>
      <c r="E23" s="28"/>
    </row>
    <row r="24" spans="1:5" x14ac:dyDescent="0.25">
      <c r="A24" s="10" t="s">
        <v>627</v>
      </c>
      <c r="B24" s="10" t="s">
        <v>628</v>
      </c>
      <c r="C24" s="10" t="s">
        <v>629</v>
      </c>
      <c r="D24" s="10" t="s">
        <v>630</v>
      </c>
    </row>
    <row r="26" spans="1:5" ht="30" x14ac:dyDescent="0.25">
      <c r="A26" s="10" t="s">
        <v>631</v>
      </c>
    </row>
    <row r="27" spans="1:5" x14ac:dyDescent="0.25">
      <c r="A27" s="10" t="s">
        <v>632</v>
      </c>
      <c r="B27" s="10" t="s">
        <v>65</v>
      </c>
    </row>
    <row r="28" spans="1:5" ht="30" x14ac:dyDescent="0.25">
      <c r="A28" s="10" t="s">
        <v>633</v>
      </c>
      <c r="B28" s="10" t="s">
        <v>634</v>
      </c>
    </row>
    <row r="29" spans="1:5" x14ac:dyDescent="0.25">
      <c r="A29" s="130" t="s">
        <v>635</v>
      </c>
      <c r="B29" s="130"/>
      <c r="C29" s="130"/>
      <c r="D29" s="130"/>
      <c r="E29" s="130"/>
    </row>
    <row r="30" spans="1:5" ht="30" x14ac:dyDescent="0.25">
      <c r="A30" s="28" t="s">
        <v>636</v>
      </c>
      <c r="B30" s="28" t="s">
        <v>637</v>
      </c>
      <c r="C30" s="28"/>
      <c r="D30" s="28"/>
      <c r="E30" s="28"/>
    </row>
    <row r="31" spans="1:5" ht="30" x14ac:dyDescent="0.25">
      <c r="A31" s="10" t="s">
        <v>638</v>
      </c>
      <c r="B31" s="10" t="s">
        <v>639</v>
      </c>
    </row>
    <row r="32" spans="1:5" ht="30" x14ac:dyDescent="0.25">
      <c r="A32" s="10" t="s">
        <v>640</v>
      </c>
      <c r="B32" s="10" t="s">
        <v>641</v>
      </c>
    </row>
    <row r="33" spans="1:3" ht="30" x14ac:dyDescent="0.25">
      <c r="A33" s="10" t="s">
        <v>642</v>
      </c>
      <c r="B33" s="10" t="s">
        <v>643</v>
      </c>
    </row>
    <row r="35" spans="1:3" x14ac:dyDescent="0.25">
      <c r="A35" s="10" t="s">
        <v>644</v>
      </c>
    </row>
    <row r="36" spans="1:3" x14ac:dyDescent="0.25">
      <c r="A36" s="10" t="s">
        <v>645</v>
      </c>
      <c r="B36" s="10" t="s">
        <v>646</v>
      </c>
      <c r="C36" s="10" t="s">
        <v>399</v>
      </c>
    </row>
    <row r="37" spans="1:3" x14ac:dyDescent="0.25">
      <c r="A37" s="10" t="s">
        <v>23</v>
      </c>
      <c r="B37" s="10" t="s">
        <v>647</v>
      </c>
      <c r="C37" s="10" t="s">
        <v>648</v>
      </c>
    </row>
    <row r="38" spans="1:3" x14ac:dyDescent="0.25">
      <c r="A38" s="10" t="s">
        <v>24</v>
      </c>
      <c r="B38" s="10" t="s">
        <v>649</v>
      </c>
      <c r="C38" s="10" t="s">
        <v>650</v>
      </c>
    </row>
    <row r="39" spans="1:3" x14ac:dyDescent="0.25">
      <c r="A39" s="10" t="s">
        <v>25</v>
      </c>
      <c r="B39" s="10" t="s">
        <v>651</v>
      </c>
      <c r="C39" s="10" t="s">
        <v>652</v>
      </c>
    </row>
    <row r="40" spans="1:3" x14ac:dyDescent="0.25">
      <c r="A40" s="10" t="s">
        <v>26</v>
      </c>
      <c r="B40" s="10" t="s">
        <v>653</v>
      </c>
      <c r="C40" s="10" t="s">
        <v>654</v>
      </c>
    </row>
    <row r="41" spans="1:3" x14ac:dyDescent="0.25">
      <c r="A41" s="10" t="s">
        <v>27</v>
      </c>
      <c r="B41" s="10" t="s">
        <v>655</v>
      </c>
      <c r="C41" s="10" t="s">
        <v>656</v>
      </c>
    </row>
  </sheetData>
  <mergeCells count="5">
    <mergeCell ref="A1:E1"/>
    <mergeCell ref="A3:E3"/>
    <mergeCell ref="A13:E13"/>
    <mergeCell ref="A22:E22"/>
    <mergeCell ref="A29:E2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B2A3C-F793-495F-97F1-27420EDDD17E}">
  <sheetPr>
    <tabColor rgb="FFC00000"/>
  </sheetPr>
  <dimension ref="A1:M66"/>
  <sheetViews>
    <sheetView workbookViewId="0">
      <selection activeCell="G56" sqref="G56"/>
    </sheetView>
  </sheetViews>
  <sheetFormatPr baseColWidth="10" defaultRowHeight="15" x14ac:dyDescent="0.25"/>
  <cols>
    <col min="1" max="1" width="19.42578125" style="10" customWidth="1"/>
    <col min="2" max="2" width="14.7109375" style="10" customWidth="1"/>
    <col min="3" max="3" width="19.42578125" style="10" customWidth="1"/>
    <col min="4" max="4" width="18.5703125" style="10" customWidth="1"/>
    <col min="5" max="6" width="25.85546875" style="10" customWidth="1"/>
    <col min="7" max="7" width="24.140625" style="10" customWidth="1"/>
    <col min="8" max="8" width="18.5703125" style="10" customWidth="1"/>
  </cols>
  <sheetData>
    <row r="1" spans="1:13" ht="30" customHeight="1" x14ac:dyDescent="0.3">
      <c r="A1" s="131" t="s">
        <v>901</v>
      </c>
      <c r="B1" s="131"/>
      <c r="C1" s="131"/>
      <c r="D1" s="131"/>
      <c r="E1" s="131"/>
      <c r="F1" s="131"/>
      <c r="G1" s="131"/>
      <c r="H1" s="131"/>
      <c r="J1" t="s">
        <v>645</v>
      </c>
      <c r="K1" t="s">
        <v>907</v>
      </c>
      <c r="L1" t="s">
        <v>921</v>
      </c>
      <c r="M1" t="s">
        <v>917</v>
      </c>
    </row>
    <row r="2" spans="1:13" x14ac:dyDescent="0.25">
      <c r="J2" t="s">
        <v>23</v>
      </c>
      <c r="K2" s="64">
        <v>1013250</v>
      </c>
      <c r="L2" s="64">
        <v>88200</v>
      </c>
      <c r="M2" s="64">
        <v>925050</v>
      </c>
    </row>
    <row r="3" spans="1:13" x14ac:dyDescent="0.25">
      <c r="A3" s="132" t="s">
        <v>657</v>
      </c>
      <c r="B3" s="132"/>
      <c r="C3" s="132"/>
      <c r="D3" s="132"/>
      <c r="E3" s="132"/>
      <c r="F3" s="132"/>
      <c r="G3" s="132"/>
      <c r="H3" s="132"/>
      <c r="J3" t="s">
        <v>24</v>
      </c>
      <c r="K3" s="64">
        <v>2793000</v>
      </c>
      <c r="L3" s="64">
        <v>540330</v>
      </c>
      <c r="M3" s="64">
        <v>2252670</v>
      </c>
    </row>
    <row r="4" spans="1:13" x14ac:dyDescent="0.25">
      <c r="A4" s="30" t="s">
        <v>658</v>
      </c>
      <c r="B4" s="30" t="s">
        <v>659</v>
      </c>
      <c r="C4" s="30"/>
      <c r="D4" s="30"/>
      <c r="E4" s="30"/>
      <c r="F4" s="30"/>
      <c r="G4" s="30"/>
      <c r="H4" s="30"/>
      <c r="J4" t="s">
        <v>25</v>
      </c>
      <c r="K4" s="64">
        <v>5607000</v>
      </c>
      <c r="L4" s="64">
        <v>1159830</v>
      </c>
      <c r="M4" s="64">
        <v>4447170</v>
      </c>
    </row>
    <row r="5" spans="1:13" ht="30" x14ac:dyDescent="0.25">
      <c r="A5" s="14" t="s">
        <v>902</v>
      </c>
      <c r="B5" s="62">
        <v>43750</v>
      </c>
      <c r="C5" s="14"/>
      <c r="D5" s="14"/>
      <c r="E5" s="14"/>
      <c r="F5" s="14"/>
      <c r="G5" s="14"/>
      <c r="H5" s="14"/>
      <c r="J5" t="s">
        <v>26</v>
      </c>
      <c r="K5" s="64">
        <v>9177000</v>
      </c>
      <c r="L5" s="64">
        <v>2216130</v>
      </c>
      <c r="M5" s="64">
        <v>6960870</v>
      </c>
    </row>
    <row r="6" spans="1:13" ht="30" x14ac:dyDescent="0.25">
      <c r="A6" s="31" t="s">
        <v>903</v>
      </c>
      <c r="B6" s="63">
        <v>7875</v>
      </c>
      <c r="C6" s="31"/>
      <c r="D6" s="31"/>
      <c r="E6" s="31"/>
      <c r="F6" s="31"/>
      <c r="G6" s="31"/>
      <c r="H6" s="31"/>
      <c r="J6" t="s">
        <v>27</v>
      </c>
      <c r="K6" s="64">
        <v>13881000</v>
      </c>
      <c r="L6" s="64">
        <v>3792600</v>
      </c>
      <c r="M6" s="64">
        <v>10088400</v>
      </c>
    </row>
    <row r="7" spans="1:13" ht="30" x14ac:dyDescent="0.25">
      <c r="A7" s="14" t="s">
        <v>660</v>
      </c>
      <c r="B7" s="33">
        <v>0.6</v>
      </c>
      <c r="C7" s="14"/>
      <c r="D7" s="14"/>
      <c r="E7" s="14"/>
      <c r="F7" s="14"/>
      <c r="G7" s="14"/>
      <c r="H7" s="14"/>
    </row>
    <row r="8" spans="1:13" ht="45" x14ac:dyDescent="0.25">
      <c r="A8" s="31" t="s">
        <v>689</v>
      </c>
      <c r="B8" s="32">
        <v>1</v>
      </c>
      <c r="C8" s="31"/>
      <c r="D8" s="31"/>
      <c r="E8" s="31"/>
      <c r="F8" s="31"/>
      <c r="G8" s="31"/>
      <c r="H8" s="31"/>
    </row>
    <row r="9" spans="1:13" ht="30" x14ac:dyDescent="0.25">
      <c r="A9" s="14" t="s">
        <v>690</v>
      </c>
      <c r="B9" s="33">
        <v>0.04</v>
      </c>
      <c r="C9" s="14"/>
      <c r="D9" s="14"/>
      <c r="E9" s="14"/>
      <c r="F9" s="14"/>
      <c r="G9" s="14"/>
      <c r="H9" s="14"/>
    </row>
    <row r="10" spans="1:13" ht="30" x14ac:dyDescent="0.25">
      <c r="A10" s="31" t="s">
        <v>904</v>
      </c>
      <c r="B10" s="32">
        <v>17.5</v>
      </c>
      <c r="C10" s="31"/>
      <c r="D10" s="31"/>
      <c r="E10" s="31"/>
      <c r="F10" s="31"/>
      <c r="G10" s="31"/>
      <c r="H10" s="31"/>
    </row>
    <row r="12" spans="1:13" x14ac:dyDescent="0.25">
      <c r="A12" s="133" t="s">
        <v>691</v>
      </c>
      <c r="B12" s="133"/>
      <c r="C12" s="133"/>
      <c r="D12" s="133"/>
      <c r="E12" s="133"/>
      <c r="F12" s="133"/>
      <c r="G12" s="133"/>
      <c r="H12" s="133"/>
    </row>
    <row r="13" spans="1:13" x14ac:dyDescent="0.25">
      <c r="A13" s="50" t="s">
        <v>661</v>
      </c>
      <c r="B13" s="50" t="s">
        <v>662</v>
      </c>
      <c r="C13" s="50" t="s">
        <v>663</v>
      </c>
      <c r="D13" s="50" t="s">
        <v>294</v>
      </c>
      <c r="E13" s="50" t="s">
        <v>905</v>
      </c>
      <c r="F13" s="50" t="s">
        <v>906</v>
      </c>
      <c r="G13" s="50" t="s">
        <v>907</v>
      </c>
      <c r="H13" s="50" t="s">
        <v>908</v>
      </c>
    </row>
    <row r="14" spans="1:13" x14ac:dyDescent="0.25">
      <c r="A14" s="12" t="s">
        <v>664</v>
      </c>
      <c r="B14" s="12">
        <v>1</v>
      </c>
      <c r="C14" s="12">
        <v>1</v>
      </c>
      <c r="D14" s="12">
        <v>1</v>
      </c>
      <c r="E14" s="44">
        <v>43750</v>
      </c>
      <c r="F14" s="44">
        <v>7875</v>
      </c>
      <c r="G14" s="45">
        <v>51625</v>
      </c>
      <c r="H14" s="44">
        <v>7875</v>
      </c>
    </row>
    <row r="15" spans="1:13" x14ac:dyDescent="0.25">
      <c r="A15" s="51">
        <v>45689</v>
      </c>
      <c r="B15" s="46">
        <v>2</v>
      </c>
      <c r="C15" s="46">
        <v>1</v>
      </c>
      <c r="D15" s="46">
        <v>2</v>
      </c>
      <c r="E15" s="47">
        <v>43750</v>
      </c>
      <c r="F15" s="47">
        <v>7875</v>
      </c>
      <c r="G15" s="48">
        <v>51625</v>
      </c>
      <c r="H15" s="47">
        <v>7875</v>
      </c>
    </row>
    <row r="16" spans="1:13" x14ac:dyDescent="0.25">
      <c r="A16" s="52">
        <v>45717</v>
      </c>
      <c r="B16" s="12">
        <v>3</v>
      </c>
      <c r="C16" s="12">
        <v>1</v>
      </c>
      <c r="D16" s="12">
        <v>3</v>
      </c>
      <c r="E16" s="44">
        <v>43750</v>
      </c>
      <c r="F16" s="44">
        <v>15750</v>
      </c>
      <c r="G16" s="45">
        <v>59500</v>
      </c>
      <c r="H16" s="44">
        <v>15750</v>
      </c>
    </row>
    <row r="17" spans="1:8" x14ac:dyDescent="0.25">
      <c r="A17" s="46" t="s">
        <v>665</v>
      </c>
      <c r="B17" s="46">
        <v>4</v>
      </c>
      <c r="C17" s="46">
        <v>2</v>
      </c>
      <c r="D17" s="46">
        <v>5</v>
      </c>
      <c r="E17" s="47">
        <v>87500</v>
      </c>
      <c r="F17" s="47">
        <v>23625</v>
      </c>
      <c r="G17" s="48">
        <v>111125</v>
      </c>
      <c r="H17" s="47">
        <v>23625</v>
      </c>
    </row>
    <row r="18" spans="1:8" x14ac:dyDescent="0.25">
      <c r="A18" s="52">
        <v>45778</v>
      </c>
      <c r="B18" s="12">
        <v>5</v>
      </c>
      <c r="C18" s="12">
        <v>2</v>
      </c>
      <c r="D18" s="12">
        <v>7</v>
      </c>
      <c r="E18" s="44">
        <v>87500</v>
      </c>
      <c r="F18" s="44">
        <v>31500</v>
      </c>
      <c r="G18" s="45">
        <v>119000</v>
      </c>
      <c r="H18" s="44">
        <v>31500</v>
      </c>
    </row>
    <row r="19" spans="1:8" x14ac:dyDescent="0.25">
      <c r="A19" s="51">
        <v>45809</v>
      </c>
      <c r="B19" s="46">
        <v>6</v>
      </c>
      <c r="C19" s="46">
        <v>2</v>
      </c>
      <c r="D19" s="46">
        <v>9</v>
      </c>
      <c r="E19" s="47">
        <v>87500</v>
      </c>
      <c r="F19" s="47">
        <v>39375</v>
      </c>
      <c r="G19" s="48">
        <v>126875</v>
      </c>
      <c r="H19" s="47">
        <v>39375</v>
      </c>
    </row>
    <row r="20" spans="1:8" x14ac:dyDescent="0.25">
      <c r="A20" s="52">
        <v>45839</v>
      </c>
      <c r="B20" s="12">
        <v>7</v>
      </c>
      <c r="C20" s="12">
        <v>2</v>
      </c>
      <c r="D20" s="12">
        <v>11</v>
      </c>
      <c r="E20" s="44">
        <v>87500</v>
      </c>
      <c r="F20" s="44">
        <v>55125</v>
      </c>
      <c r="G20" s="45">
        <v>142625</v>
      </c>
      <c r="H20" s="44">
        <v>55125</v>
      </c>
    </row>
    <row r="21" spans="1:8" x14ac:dyDescent="0.25">
      <c r="A21" s="46" t="s">
        <v>666</v>
      </c>
      <c r="B21" s="46">
        <v>8</v>
      </c>
      <c r="C21" s="46">
        <v>3</v>
      </c>
      <c r="D21" s="46">
        <v>14</v>
      </c>
      <c r="E21" s="47">
        <v>131250</v>
      </c>
      <c r="F21" s="47">
        <v>63000</v>
      </c>
      <c r="G21" s="48">
        <v>194250</v>
      </c>
      <c r="H21" s="47">
        <v>63000</v>
      </c>
    </row>
    <row r="22" spans="1:8" x14ac:dyDescent="0.25">
      <c r="A22" s="52">
        <v>45901</v>
      </c>
      <c r="B22" s="12">
        <v>9</v>
      </c>
      <c r="C22" s="12">
        <v>3</v>
      </c>
      <c r="D22" s="12">
        <v>16</v>
      </c>
      <c r="E22" s="44">
        <v>131250</v>
      </c>
      <c r="F22" s="44">
        <v>78750</v>
      </c>
      <c r="G22" s="45">
        <v>210000</v>
      </c>
      <c r="H22" s="44">
        <v>78750</v>
      </c>
    </row>
    <row r="23" spans="1:8" x14ac:dyDescent="0.25">
      <c r="A23" s="51">
        <v>45931</v>
      </c>
      <c r="B23" s="46">
        <v>10</v>
      </c>
      <c r="C23" s="46">
        <v>3</v>
      </c>
      <c r="D23" s="46">
        <v>18</v>
      </c>
      <c r="E23" s="47">
        <v>131250</v>
      </c>
      <c r="F23" s="47">
        <v>86625</v>
      </c>
      <c r="G23" s="48">
        <v>217875</v>
      </c>
      <c r="H23" s="47">
        <v>86625</v>
      </c>
    </row>
    <row r="24" spans="1:8" x14ac:dyDescent="0.25">
      <c r="A24" s="52">
        <v>45962</v>
      </c>
      <c r="B24" s="12">
        <v>11</v>
      </c>
      <c r="C24" s="12">
        <v>3</v>
      </c>
      <c r="D24" s="12">
        <v>20</v>
      </c>
      <c r="E24" s="44">
        <v>131250</v>
      </c>
      <c r="F24" s="44">
        <v>94500</v>
      </c>
      <c r="G24" s="45">
        <v>225750</v>
      </c>
      <c r="H24" s="44">
        <v>94500</v>
      </c>
    </row>
    <row r="25" spans="1:8" x14ac:dyDescent="0.25">
      <c r="A25" s="49" t="s">
        <v>667</v>
      </c>
      <c r="B25" s="49">
        <v>12</v>
      </c>
      <c r="C25" s="49">
        <v>4</v>
      </c>
      <c r="D25" s="49">
        <v>23</v>
      </c>
      <c r="E25" s="48">
        <v>175000</v>
      </c>
      <c r="F25" s="48">
        <v>110250</v>
      </c>
      <c r="G25" s="48">
        <v>285250</v>
      </c>
      <c r="H25" s="48">
        <v>110250</v>
      </c>
    </row>
    <row r="26" spans="1:8" x14ac:dyDescent="0.25">
      <c r="A26" s="12" t="s">
        <v>668</v>
      </c>
      <c r="B26" s="12">
        <v>13</v>
      </c>
      <c r="C26" s="12">
        <v>4</v>
      </c>
      <c r="D26" s="12">
        <v>26</v>
      </c>
      <c r="E26" s="44">
        <v>175000</v>
      </c>
      <c r="F26" s="44">
        <v>126000</v>
      </c>
      <c r="G26" s="45">
        <v>301000</v>
      </c>
      <c r="H26" s="44">
        <v>126000</v>
      </c>
    </row>
    <row r="27" spans="1:8" x14ac:dyDescent="0.25">
      <c r="A27" s="51">
        <v>46054</v>
      </c>
      <c r="B27" s="46">
        <v>14</v>
      </c>
      <c r="C27" s="46">
        <v>4</v>
      </c>
      <c r="D27" s="46">
        <v>29</v>
      </c>
      <c r="E27" s="47">
        <v>175000</v>
      </c>
      <c r="F27" s="47">
        <v>133875</v>
      </c>
      <c r="G27" s="48">
        <v>308875</v>
      </c>
      <c r="H27" s="47">
        <v>133875</v>
      </c>
    </row>
    <row r="28" spans="1:8" x14ac:dyDescent="0.25">
      <c r="A28" s="52">
        <v>46082</v>
      </c>
      <c r="B28" s="12">
        <v>15</v>
      </c>
      <c r="C28" s="12">
        <v>5</v>
      </c>
      <c r="D28" s="12">
        <v>33</v>
      </c>
      <c r="E28" s="44">
        <v>218750</v>
      </c>
      <c r="F28" s="44">
        <v>157500</v>
      </c>
      <c r="G28" s="45">
        <v>376250</v>
      </c>
      <c r="H28" s="44">
        <v>157500</v>
      </c>
    </row>
    <row r="29" spans="1:8" x14ac:dyDescent="0.25">
      <c r="A29" s="46" t="s">
        <v>669</v>
      </c>
      <c r="B29" s="46">
        <v>16</v>
      </c>
      <c r="C29" s="46">
        <v>5</v>
      </c>
      <c r="D29" s="46">
        <v>37</v>
      </c>
      <c r="E29" s="47">
        <v>218750</v>
      </c>
      <c r="F29" s="47">
        <v>173250</v>
      </c>
      <c r="G29" s="48">
        <v>392000</v>
      </c>
      <c r="H29" s="47">
        <v>173250</v>
      </c>
    </row>
    <row r="30" spans="1:8" x14ac:dyDescent="0.25">
      <c r="A30" s="52">
        <v>46143</v>
      </c>
      <c r="B30" s="12">
        <v>17</v>
      </c>
      <c r="C30" s="12">
        <v>5</v>
      </c>
      <c r="D30" s="12">
        <v>41</v>
      </c>
      <c r="E30" s="44">
        <v>218750</v>
      </c>
      <c r="F30" s="44">
        <v>196875</v>
      </c>
      <c r="G30" s="45">
        <v>415625</v>
      </c>
      <c r="H30" s="44">
        <v>196875</v>
      </c>
    </row>
    <row r="31" spans="1:8" x14ac:dyDescent="0.25">
      <c r="A31" s="51">
        <v>46174</v>
      </c>
      <c r="B31" s="46">
        <v>18</v>
      </c>
      <c r="C31" s="46">
        <v>6</v>
      </c>
      <c r="D31" s="46">
        <v>45</v>
      </c>
      <c r="E31" s="47">
        <v>262500</v>
      </c>
      <c r="F31" s="47">
        <v>212625</v>
      </c>
      <c r="G31" s="48">
        <v>475125</v>
      </c>
      <c r="H31" s="47">
        <v>212625</v>
      </c>
    </row>
    <row r="32" spans="1:8" x14ac:dyDescent="0.25">
      <c r="A32" s="52">
        <v>46204</v>
      </c>
      <c r="B32" s="12">
        <v>19</v>
      </c>
      <c r="C32" s="12">
        <v>6</v>
      </c>
      <c r="D32" s="12">
        <v>49</v>
      </c>
      <c r="E32" s="44">
        <v>262500</v>
      </c>
      <c r="F32" s="44">
        <v>228375</v>
      </c>
      <c r="G32" s="45">
        <v>490875</v>
      </c>
      <c r="H32" s="44">
        <v>228375</v>
      </c>
    </row>
    <row r="33" spans="1:8" x14ac:dyDescent="0.25">
      <c r="A33" s="46" t="s">
        <v>670</v>
      </c>
      <c r="B33" s="46">
        <v>20</v>
      </c>
      <c r="C33" s="46">
        <v>6</v>
      </c>
      <c r="D33" s="46">
        <v>53</v>
      </c>
      <c r="E33" s="47">
        <v>262500</v>
      </c>
      <c r="F33" s="47">
        <v>252000</v>
      </c>
      <c r="G33" s="48">
        <v>514500</v>
      </c>
      <c r="H33" s="47">
        <v>252000</v>
      </c>
    </row>
    <row r="34" spans="1:8" x14ac:dyDescent="0.25">
      <c r="A34" s="52">
        <v>46266</v>
      </c>
      <c r="B34" s="12">
        <v>21</v>
      </c>
      <c r="C34" s="12">
        <v>7</v>
      </c>
      <c r="D34" s="12">
        <v>58</v>
      </c>
      <c r="E34" s="44">
        <v>306250</v>
      </c>
      <c r="F34" s="44">
        <v>275625</v>
      </c>
      <c r="G34" s="45">
        <v>581875</v>
      </c>
      <c r="H34" s="44">
        <v>275625</v>
      </c>
    </row>
    <row r="35" spans="1:8" x14ac:dyDescent="0.25">
      <c r="A35" s="51">
        <v>46296</v>
      </c>
      <c r="B35" s="46">
        <v>22</v>
      </c>
      <c r="C35" s="46">
        <v>7</v>
      </c>
      <c r="D35" s="46">
        <v>63</v>
      </c>
      <c r="E35" s="47">
        <v>306250</v>
      </c>
      <c r="F35" s="47">
        <v>299250</v>
      </c>
      <c r="G35" s="48">
        <v>605500</v>
      </c>
      <c r="H35" s="47">
        <v>299250</v>
      </c>
    </row>
    <row r="36" spans="1:8" x14ac:dyDescent="0.25">
      <c r="A36" s="52">
        <v>46327</v>
      </c>
      <c r="B36" s="12">
        <v>23</v>
      </c>
      <c r="C36" s="12">
        <v>8</v>
      </c>
      <c r="D36" s="12">
        <v>68</v>
      </c>
      <c r="E36" s="44">
        <v>350000</v>
      </c>
      <c r="F36" s="44">
        <v>322875</v>
      </c>
      <c r="G36" s="45">
        <v>672875</v>
      </c>
      <c r="H36" s="44">
        <v>322875</v>
      </c>
    </row>
    <row r="37" spans="1:8" x14ac:dyDescent="0.25">
      <c r="A37" s="46" t="s">
        <v>671</v>
      </c>
      <c r="B37" s="46">
        <v>24</v>
      </c>
      <c r="C37" s="46">
        <v>8</v>
      </c>
      <c r="D37" s="46">
        <v>73</v>
      </c>
      <c r="E37" s="47">
        <v>350000</v>
      </c>
      <c r="F37" s="47">
        <v>346500</v>
      </c>
      <c r="G37" s="48">
        <v>696500</v>
      </c>
      <c r="H37" s="47">
        <v>346500</v>
      </c>
    </row>
    <row r="39" spans="1:8" x14ac:dyDescent="0.25">
      <c r="A39" s="134" t="s">
        <v>909</v>
      </c>
      <c r="B39" s="134"/>
      <c r="C39" s="134"/>
      <c r="D39" s="134"/>
      <c r="E39" s="134"/>
      <c r="F39" s="134"/>
      <c r="G39" s="134"/>
      <c r="H39" s="134"/>
    </row>
    <row r="40" spans="1:8" x14ac:dyDescent="0.25">
      <c r="A40" s="25" t="s">
        <v>672</v>
      </c>
      <c r="B40" s="25" t="s">
        <v>65</v>
      </c>
      <c r="C40" s="25" t="s">
        <v>910</v>
      </c>
      <c r="D40" s="25" t="s">
        <v>911</v>
      </c>
      <c r="E40" s="25" t="s">
        <v>912</v>
      </c>
      <c r="F40" s="25" t="s">
        <v>913</v>
      </c>
      <c r="G40" s="25" t="s">
        <v>914</v>
      </c>
      <c r="H40" s="25"/>
    </row>
    <row r="41" spans="1:8" ht="45" x14ac:dyDescent="0.25">
      <c r="A41" s="34" t="s">
        <v>673</v>
      </c>
      <c r="B41" s="34" t="s">
        <v>674</v>
      </c>
      <c r="C41" s="35">
        <v>3500</v>
      </c>
      <c r="D41" s="35">
        <v>7000</v>
      </c>
      <c r="E41" s="35">
        <v>12250</v>
      </c>
      <c r="F41" s="35">
        <v>21000</v>
      </c>
      <c r="G41" s="35">
        <v>35000</v>
      </c>
      <c r="H41" s="34"/>
    </row>
    <row r="42" spans="1:8" ht="45" x14ac:dyDescent="0.25">
      <c r="A42" s="21" t="s">
        <v>675</v>
      </c>
      <c r="B42" s="21" t="s">
        <v>676</v>
      </c>
      <c r="C42" s="36">
        <v>875</v>
      </c>
      <c r="D42" s="36">
        <v>1750</v>
      </c>
      <c r="E42" s="36">
        <v>3500</v>
      </c>
      <c r="F42" s="36">
        <v>6125</v>
      </c>
      <c r="G42" s="36">
        <v>8750</v>
      </c>
      <c r="H42" s="21"/>
    </row>
    <row r="43" spans="1:8" ht="45" x14ac:dyDescent="0.25">
      <c r="A43" s="34" t="s">
        <v>677</v>
      </c>
      <c r="B43" s="34" t="s">
        <v>692</v>
      </c>
      <c r="C43" s="35">
        <v>0</v>
      </c>
      <c r="D43" s="35">
        <v>3500</v>
      </c>
      <c r="E43" s="35">
        <v>8750</v>
      </c>
      <c r="F43" s="35">
        <v>17500</v>
      </c>
      <c r="G43" s="35">
        <v>35000</v>
      </c>
      <c r="H43" s="34"/>
    </row>
    <row r="44" spans="1:8" ht="45" x14ac:dyDescent="0.25">
      <c r="A44" s="21" t="s">
        <v>678</v>
      </c>
      <c r="B44" s="21" t="s">
        <v>693</v>
      </c>
      <c r="C44" s="36">
        <v>0</v>
      </c>
      <c r="D44" s="36">
        <v>26250</v>
      </c>
      <c r="E44" s="36">
        <v>61250</v>
      </c>
      <c r="F44" s="36">
        <v>122500</v>
      </c>
      <c r="G44" s="36">
        <v>210000</v>
      </c>
      <c r="H44" s="21"/>
    </row>
    <row r="45" spans="1:8" ht="60" x14ac:dyDescent="0.25">
      <c r="A45" s="34" t="s">
        <v>679</v>
      </c>
      <c r="B45" s="34" t="s">
        <v>680</v>
      </c>
      <c r="C45" s="35">
        <v>1750</v>
      </c>
      <c r="D45" s="35">
        <v>2625</v>
      </c>
      <c r="E45" s="35">
        <v>3500</v>
      </c>
      <c r="F45" s="35">
        <v>5250</v>
      </c>
      <c r="G45" s="35">
        <v>7000</v>
      </c>
      <c r="H45" s="34"/>
    </row>
    <row r="46" spans="1:8" ht="45" x14ac:dyDescent="0.25">
      <c r="A46" s="21" t="s">
        <v>694</v>
      </c>
      <c r="B46" s="21" t="s">
        <v>695</v>
      </c>
      <c r="C46" s="36">
        <v>875</v>
      </c>
      <c r="D46" s="36">
        <v>1750</v>
      </c>
      <c r="E46" s="36">
        <v>2625</v>
      </c>
      <c r="F46" s="36">
        <v>3500</v>
      </c>
      <c r="G46" s="36">
        <v>5250</v>
      </c>
      <c r="H46" s="21"/>
    </row>
    <row r="47" spans="1:8" ht="45" x14ac:dyDescent="0.25">
      <c r="A47" s="34" t="s">
        <v>681</v>
      </c>
      <c r="B47" s="34" t="s">
        <v>696</v>
      </c>
      <c r="C47" s="35">
        <v>350</v>
      </c>
      <c r="D47" s="35">
        <v>2152.5</v>
      </c>
      <c r="E47" s="35">
        <v>4777.5</v>
      </c>
      <c r="F47" s="35">
        <v>8802.5</v>
      </c>
      <c r="G47" s="35">
        <v>15050</v>
      </c>
      <c r="H47" s="34"/>
    </row>
    <row r="48" spans="1:8" ht="30" x14ac:dyDescent="0.25">
      <c r="A48" s="37" t="s">
        <v>682</v>
      </c>
      <c r="B48" s="37"/>
      <c r="C48" s="38">
        <v>7350</v>
      </c>
      <c r="D48" s="38">
        <v>45027.5</v>
      </c>
      <c r="E48" s="38">
        <v>96652.5</v>
      </c>
      <c r="F48" s="38">
        <v>184677.5</v>
      </c>
      <c r="G48" s="38">
        <v>316050</v>
      </c>
      <c r="H48" s="37"/>
    </row>
    <row r="50" spans="1:8" x14ac:dyDescent="0.25">
      <c r="A50" s="135" t="s">
        <v>915</v>
      </c>
      <c r="B50" s="135"/>
      <c r="C50" s="135"/>
      <c r="D50" s="135"/>
      <c r="E50" s="135"/>
      <c r="F50" s="135"/>
      <c r="G50" s="135"/>
      <c r="H50" s="135"/>
    </row>
    <row r="51" spans="1:8" ht="30" x14ac:dyDescent="0.25">
      <c r="A51" s="59" t="s">
        <v>645</v>
      </c>
      <c r="B51" s="59" t="s">
        <v>697</v>
      </c>
      <c r="C51" s="59" t="s">
        <v>905</v>
      </c>
      <c r="D51" s="59" t="s">
        <v>906</v>
      </c>
      <c r="E51" s="59" t="s">
        <v>907</v>
      </c>
      <c r="F51" s="59" t="s">
        <v>916</v>
      </c>
      <c r="G51" s="59" t="s">
        <v>917</v>
      </c>
      <c r="H51" s="59" t="s">
        <v>683</v>
      </c>
    </row>
    <row r="52" spans="1:8" x14ac:dyDescent="0.25">
      <c r="A52" s="53" t="s">
        <v>684</v>
      </c>
      <c r="B52" s="53">
        <v>5</v>
      </c>
      <c r="C52" s="54">
        <v>682500</v>
      </c>
      <c r="D52" s="54">
        <v>330750</v>
      </c>
      <c r="E52" s="54">
        <v>1013250</v>
      </c>
      <c r="F52" s="54">
        <v>88200</v>
      </c>
      <c r="G52" s="55">
        <v>925050</v>
      </c>
      <c r="H52" s="60">
        <v>0.91</v>
      </c>
    </row>
    <row r="53" spans="1:8" x14ac:dyDescent="0.25">
      <c r="A53" s="56" t="s">
        <v>685</v>
      </c>
      <c r="B53" s="56">
        <v>15</v>
      </c>
      <c r="C53" s="57">
        <v>1470000</v>
      </c>
      <c r="D53" s="57">
        <v>1323000</v>
      </c>
      <c r="E53" s="57">
        <v>2793000</v>
      </c>
      <c r="F53" s="57">
        <v>540330</v>
      </c>
      <c r="G53" s="58">
        <v>2252670</v>
      </c>
      <c r="H53" s="61">
        <v>0.81</v>
      </c>
    </row>
    <row r="54" spans="1:8" x14ac:dyDescent="0.25">
      <c r="A54" s="53" t="s">
        <v>686</v>
      </c>
      <c r="B54" s="53">
        <v>30</v>
      </c>
      <c r="C54" s="54">
        <v>2205000</v>
      </c>
      <c r="D54" s="54">
        <v>3402000</v>
      </c>
      <c r="E54" s="54">
        <v>5607000</v>
      </c>
      <c r="F54" s="54">
        <v>1159830</v>
      </c>
      <c r="G54" s="55">
        <v>4447170</v>
      </c>
      <c r="H54" s="60">
        <v>0.79</v>
      </c>
    </row>
    <row r="55" spans="1:8" x14ac:dyDescent="0.25">
      <c r="A55" s="56" t="s">
        <v>687</v>
      </c>
      <c r="B55" s="56">
        <v>50</v>
      </c>
      <c r="C55" s="57">
        <v>2940000</v>
      </c>
      <c r="D55" s="57">
        <v>6237000</v>
      </c>
      <c r="E55" s="57">
        <v>9177000</v>
      </c>
      <c r="F55" s="57">
        <v>2216130</v>
      </c>
      <c r="G55" s="58">
        <v>6960870</v>
      </c>
      <c r="H55" s="61">
        <v>0.76</v>
      </c>
    </row>
    <row r="56" spans="1:8" x14ac:dyDescent="0.25">
      <c r="A56" s="53" t="s">
        <v>688</v>
      </c>
      <c r="B56" s="53">
        <v>75</v>
      </c>
      <c r="C56" s="54">
        <v>3675000</v>
      </c>
      <c r="D56" s="54">
        <v>10206000</v>
      </c>
      <c r="E56" s="54">
        <v>13881000</v>
      </c>
      <c r="F56" s="54">
        <v>3792600</v>
      </c>
      <c r="G56" s="55">
        <v>10088400</v>
      </c>
      <c r="H56" s="60">
        <v>0.73</v>
      </c>
    </row>
    <row r="58" spans="1:8" x14ac:dyDescent="0.25">
      <c r="A58" s="126" t="s">
        <v>702</v>
      </c>
      <c r="B58" s="126"/>
      <c r="C58" s="126"/>
      <c r="D58" s="126"/>
      <c r="E58" s="126"/>
      <c r="F58" s="126"/>
      <c r="G58" s="126"/>
      <c r="H58" s="126"/>
    </row>
    <row r="59" spans="1:8" ht="30" x14ac:dyDescent="0.25">
      <c r="A59" s="40" t="s">
        <v>39</v>
      </c>
      <c r="B59" s="40" t="s">
        <v>703</v>
      </c>
      <c r="C59" s="40"/>
      <c r="D59" s="40"/>
      <c r="E59" s="40"/>
      <c r="F59" s="40"/>
      <c r="G59" s="40"/>
      <c r="H59" s="40"/>
    </row>
    <row r="60" spans="1:8" ht="30" x14ac:dyDescent="0.25">
      <c r="A60" s="41" t="s">
        <v>704</v>
      </c>
      <c r="B60" s="41" t="s">
        <v>918</v>
      </c>
      <c r="C60" s="41"/>
      <c r="D60" s="41"/>
      <c r="E60" s="41"/>
      <c r="F60" s="41"/>
      <c r="G60" s="41"/>
      <c r="H60" s="41"/>
    </row>
    <row r="61" spans="1:8" ht="75" x14ac:dyDescent="0.25">
      <c r="A61" s="42" t="s">
        <v>705</v>
      </c>
      <c r="B61" s="42" t="s">
        <v>919</v>
      </c>
      <c r="C61" s="42"/>
      <c r="D61" s="42"/>
      <c r="E61" s="42"/>
      <c r="F61" s="42"/>
      <c r="G61" s="42"/>
      <c r="H61" s="42"/>
    </row>
    <row r="62" spans="1:8" ht="45" x14ac:dyDescent="0.25">
      <c r="A62" s="41" t="s">
        <v>706</v>
      </c>
      <c r="B62" s="41" t="s">
        <v>707</v>
      </c>
      <c r="C62" s="41"/>
      <c r="D62" s="41"/>
      <c r="E62" s="41"/>
      <c r="F62" s="41"/>
      <c r="G62" s="41"/>
      <c r="H62" s="41"/>
    </row>
    <row r="63" spans="1:8" ht="45" x14ac:dyDescent="0.25">
      <c r="A63" s="42" t="s">
        <v>708</v>
      </c>
      <c r="B63" s="42" t="s">
        <v>709</v>
      </c>
      <c r="C63" s="42"/>
      <c r="D63" s="42"/>
      <c r="E63" s="42"/>
      <c r="F63" s="42"/>
      <c r="G63" s="42"/>
      <c r="H63" s="42"/>
    </row>
    <row r="64" spans="1:8" ht="45" x14ac:dyDescent="0.25">
      <c r="A64" s="41" t="s">
        <v>710</v>
      </c>
      <c r="B64" s="41" t="s">
        <v>711</v>
      </c>
      <c r="C64" s="41"/>
      <c r="D64" s="41"/>
      <c r="E64" s="41"/>
      <c r="F64" s="41"/>
      <c r="G64" s="41"/>
      <c r="H64" s="41"/>
    </row>
    <row r="65" spans="1:8" ht="45" x14ac:dyDescent="0.25">
      <c r="A65" s="42" t="s">
        <v>12</v>
      </c>
      <c r="B65" s="42" t="s">
        <v>920</v>
      </c>
      <c r="C65" s="42"/>
      <c r="D65" s="42"/>
      <c r="E65" s="42"/>
      <c r="F65" s="42"/>
      <c r="G65" s="42"/>
      <c r="H65" s="42"/>
    </row>
    <row r="66" spans="1:8" ht="45" x14ac:dyDescent="0.25">
      <c r="A66" s="41" t="s">
        <v>712</v>
      </c>
      <c r="B66" s="41" t="s">
        <v>713</v>
      </c>
      <c r="C66" s="41"/>
      <c r="D66" s="41"/>
      <c r="E66" s="41"/>
      <c r="F66" s="41"/>
      <c r="G66" s="41"/>
      <c r="H66" s="41"/>
    </row>
  </sheetData>
  <mergeCells count="6">
    <mergeCell ref="A58:H58"/>
    <mergeCell ref="A1:H1"/>
    <mergeCell ref="A3:H3"/>
    <mergeCell ref="A12:H12"/>
    <mergeCell ref="A39:H39"/>
    <mergeCell ref="A50:H50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5C3AA-8A8A-4233-A125-91D626BCB5E2}">
  <sheetPr>
    <tabColor rgb="FF70AD47"/>
  </sheetPr>
  <dimension ref="A1:D34"/>
  <sheetViews>
    <sheetView workbookViewId="0">
      <selection sqref="A1:D1"/>
    </sheetView>
  </sheetViews>
  <sheetFormatPr baseColWidth="10" defaultRowHeight="15" x14ac:dyDescent="0.25"/>
  <cols>
    <col min="1" max="1" width="37" style="10" customWidth="1"/>
    <col min="2" max="2" width="50" style="10" customWidth="1"/>
    <col min="3" max="3" width="37" style="10" customWidth="1"/>
    <col min="4" max="4" width="27.7109375" style="10" customWidth="1"/>
  </cols>
  <sheetData>
    <row r="1" spans="1:4" ht="30" customHeight="1" x14ac:dyDescent="0.3">
      <c r="A1" s="114" t="s">
        <v>714</v>
      </c>
      <c r="B1" s="114"/>
      <c r="C1" s="114"/>
      <c r="D1" s="114"/>
    </row>
    <row r="3" spans="1:4" x14ac:dyDescent="0.25">
      <c r="A3" s="115" t="s">
        <v>715</v>
      </c>
      <c r="B3" s="115"/>
      <c r="C3" s="115"/>
      <c r="D3" s="115"/>
    </row>
    <row r="4" spans="1:4" x14ac:dyDescent="0.25">
      <c r="A4" s="39" t="s">
        <v>716</v>
      </c>
      <c r="B4" s="39" t="s">
        <v>717</v>
      </c>
      <c r="C4" s="39" t="s">
        <v>718</v>
      </c>
      <c r="D4" s="39" t="s">
        <v>719</v>
      </c>
    </row>
    <row r="5" spans="1:4" ht="30" x14ac:dyDescent="0.25">
      <c r="A5" s="10" t="s">
        <v>720</v>
      </c>
      <c r="B5" s="10" t="s">
        <v>721</v>
      </c>
      <c r="C5" s="10" t="s">
        <v>722</v>
      </c>
      <c r="D5" s="10" t="s">
        <v>922</v>
      </c>
    </row>
    <row r="6" spans="1:4" ht="30" x14ac:dyDescent="0.25">
      <c r="A6" s="10" t="s">
        <v>723</v>
      </c>
      <c r="B6" s="10" t="s">
        <v>724</v>
      </c>
      <c r="C6" s="10" t="s">
        <v>725</v>
      </c>
      <c r="D6" s="10" t="s">
        <v>923</v>
      </c>
    </row>
    <row r="7" spans="1:4" ht="30" x14ac:dyDescent="0.25">
      <c r="A7" s="10" t="s">
        <v>726</v>
      </c>
      <c r="B7" s="10" t="s">
        <v>727</v>
      </c>
      <c r="C7" s="10" t="s">
        <v>728</v>
      </c>
      <c r="D7" s="10" t="s">
        <v>924</v>
      </c>
    </row>
    <row r="8" spans="1:4" ht="30" x14ac:dyDescent="0.25">
      <c r="A8" s="10" t="s">
        <v>729</v>
      </c>
      <c r="B8" s="10" t="s">
        <v>730</v>
      </c>
      <c r="C8" s="10" t="s">
        <v>731</v>
      </c>
      <c r="D8" s="10" t="s">
        <v>925</v>
      </c>
    </row>
    <row r="9" spans="1:4" ht="30" x14ac:dyDescent="0.25">
      <c r="A9" s="10" t="s">
        <v>732</v>
      </c>
      <c r="B9" s="10" t="s">
        <v>733</v>
      </c>
      <c r="C9" s="10" t="s">
        <v>734</v>
      </c>
      <c r="D9" s="10" t="s">
        <v>926</v>
      </c>
    </row>
    <row r="11" spans="1:4" x14ac:dyDescent="0.25">
      <c r="A11" s="115" t="s">
        <v>735</v>
      </c>
      <c r="B11" s="115"/>
      <c r="C11" s="115"/>
      <c r="D11" s="115"/>
    </row>
    <row r="12" spans="1:4" x14ac:dyDescent="0.25">
      <c r="A12" s="39" t="s">
        <v>229</v>
      </c>
      <c r="B12" s="39" t="s">
        <v>65</v>
      </c>
      <c r="C12" s="39" t="s">
        <v>736</v>
      </c>
      <c r="D12" s="39" t="s">
        <v>737</v>
      </c>
    </row>
    <row r="13" spans="1:4" ht="30" x14ac:dyDescent="0.25">
      <c r="A13" s="10" t="s">
        <v>230</v>
      </c>
      <c r="B13" s="10" t="s">
        <v>738</v>
      </c>
      <c r="C13" s="10" t="s">
        <v>739</v>
      </c>
      <c r="D13" s="10" t="s">
        <v>860</v>
      </c>
    </row>
    <row r="14" spans="1:4" ht="30" x14ac:dyDescent="0.25">
      <c r="A14" s="10" t="s">
        <v>233</v>
      </c>
      <c r="B14" s="10" t="s">
        <v>740</v>
      </c>
      <c r="C14" s="10" t="s">
        <v>741</v>
      </c>
      <c r="D14" s="10" t="s">
        <v>861</v>
      </c>
    </row>
    <row r="15" spans="1:4" ht="30" x14ac:dyDescent="0.25">
      <c r="A15" s="10" t="s">
        <v>742</v>
      </c>
      <c r="B15" s="10" t="s">
        <v>743</v>
      </c>
      <c r="C15" s="10" t="s">
        <v>744</v>
      </c>
      <c r="D15" s="10" t="s">
        <v>927</v>
      </c>
    </row>
    <row r="16" spans="1:4" ht="30" x14ac:dyDescent="0.25">
      <c r="A16" s="10" t="s">
        <v>745</v>
      </c>
      <c r="B16" s="10" t="s">
        <v>746</v>
      </c>
      <c r="C16" s="10" t="s">
        <v>747</v>
      </c>
      <c r="D16" s="10" t="s">
        <v>928</v>
      </c>
    </row>
    <row r="17" spans="1:4" ht="30" x14ac:dyDescent="0.25">
      <c r="A17" s="10" t="s">
        <v>748</v>
      </c>
      <c r="B17" s="10" t="s">
        <v>749</v>
      </c>
      <c r="C17" s="10" t="s">
        <v>750</v>
      </c>
      <c r="D17" s="10" t="s">
        <v>929</v>
      </c>
    </row>
    <row r="18" spans="1:4" x14ac:dyDescent="0.25">
      <c r="A18" s="115"/>
      <c r="B18" s="115"/>
      <c r="C18" s="115"/>
      <c r="D18" s="115"/>
    </row>
    <row r="19" spans="1:4" ht="30" x14ac:dyDescent="0.25">
      <c r="A19" s="39" t="s">
        <v>751</v>
      </c>
      <c r="B19" s="39"/>
      <c r="C19" s="39"/>
      <c r="D19" s="39"/>
    </row>
    <row r="20" spans="1:4" x14ac:dyDescent="0.25">
      <c r="A20" s="10" t="s">
        <v>414</v>
      </c>
      <c r="B20" s="10" t="s">
        <v>371</v>
      </c>
      <c r="C20" s="10" t="s">
        <v>752</v>
      </c>
    </row>
    <row r="21" spans="1:4" ht="30" x14ac:dyDescent="0.25">
      <c r="A21" s="10" t="s">
        <v>753</v>
      </c>
      <c r="B21" s="10" t="s">
        <v>754</v>
      </c>
      <c r="C21" s="10" t="s">
        <v>755</v>
      </c>
    </row>
    <row r="22" spans="1:4" ht="30" x14ac:dyDescent="0.25">
      <c r="A22" s="10" t="s">
        <v>756</v>
      </c>
      <c r="B22" s="10" t="s">
        <v>757</v>
      </c>
      <c r="C22" s="10" t="s">
        <v>758</v>
      </c>
    </row>
    <row r="23" spans="1:4" ht="30" x14ac:dyDescent="0.25">
      <c r="A23" s="10" t="s">
        <v>759</v>
      </c>
      <c r="B23" s="10" t="s">
        <v>760</v>
      </c>
      <c r="C23" s="10" t="s">
        <v>761</v>
      </c>
    </row>
    <row r="24" spans="1:4" ht="30" x14ac:dyDescent="0.25">
      <c r="A24" s="10" t="s">
        <v>762</v>
      </c>
      <c r="B24" s="10" t="s">
        <v>763</v>
      </c>
      <c r="C24" s="10" t="s">
        <v>764</v>
      </c>
    </row>
    <row r="25" spans="1:4" x14ac:dyDescent="0.25">
      <c r="A25" s="10" t="s">
        <v>765</v>
      </c>
      <c r="B25" s="10" t="s">
        <v>766</v>
      </c>
      <c r="C25" s="10" t="s">
        <v>767</v>
      </c>
    </row>
    <row r="26" spans="1:4" x14ac:dyDescent="0.25">
      <c r="A26" s="115" t="s">
        <v>768</v>
      </c>
      <c r="B26" s="115"/>
      <c r="C26" s="115"/>
      <c r="D26" s="115"/>
    </row>
    <row r="27" spans="1:4" x14ac:dyDescent="0.25">
      <c r="A27" s="39"/>
      <c r="B27" s="39"/>
      <c r="C27" s="39"/>
      <c r="D27" s="39"/>
    </row>
    <row r="28" spans="1:4" ht="30" x14ac:dyDescent="0.25">
      <c r="A28" s="10" t="s">
        <v>769</v>
      </c>
      <c r="C28" s="10" t="s">
        <v>930</v>
      </c>
    </row>
    <row r="29" spans="1:4" x14ac:dyDescent="0.25">
      <c r="A29" s="10" t="s">
        <v>269</v>
      </c>
      <c r="B29" s="10" t="s">
        <v>770</v>
      </c>
      <c r="C29" s="10" t="s">
        <v>931</v>
      </c>
    </row>
    <row r="30" spans="1:4" x14ac:dyDescent="0.25">
      <c r="A30" s="10" t="s">
        <v>771</v>
      </c>
      <c r="B30" s="10" t="s">
        <v>772</v>
      </c>
      <c r="C30" s="10" t="s">
        <v>932</v>
      </c>
    </row>
    <row r="31" spans="1:4" ht="30" x14ac:dyDescent="0.25">
      <c r="A31" s="10" t="s">
        <v>773</v>
      </c>
      <c r="B31" s="10" t="s">
        <v>774</v>
      </c>
      <c r="C31" s="10" t="s">
        <v>933</v>
      </c>
    </row>
    <row r="32" spans="1:4" ht="30" x14ac:dyDescent="0.25">
      <c r="A32" s="10" t="s">
        <v>775</v>
      </c>
      <c r="B32" s="10" t="s">
        <v>776</v>
      </c>
      <c r="C32" s="10" t="s">
        <v>934</v>
      </c>
    </row>
    <row r="33" spans="1:3" ht="30" x14ac:dyDescent="0.25">
      <c r="A33" s="10" t="s">
        <v>777</v>
      </c>
      <c r="B33" s="10" t="s">
        <v>778</v>
      </c>
      <c r="C33" s="10" t="s">
        <v>779</v>
      </c>
    </row>
    <row r="34" spans="1:3" ht="30" x14ac:dyDescent="0.25">
      <c r="A34" s="10" t="s">
        <v>780</v>
      </c>
      <c r="B34" s="10" t="s">
        <v>781</v>
      </c>
      <c r="C34" s="10" t="s">
        <v>782</v>
      </c>
    </row>
  </sheetData>
  <mergeCells count="5">
    <mergeCell ref="A1:D1"/>
    <mergeCell ref="A3:D3"/>
    <mergeCell ref="A11:D11"/>
    <mergeCell ref="A18:D18"/>
    <mergeCell ref="A26:D2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3011A-3635-4580-A7FD-FC6A121631E6}">
  <sheetPr>
    <tabColor rgb="FFFF0000"/>
  </sheetPr>
  <dimension ref="A1:E31"/>
  <sheetViews>
    <sheetView tabSelected="1" workbookViewId="0">
      <selection sqref="A1:E1"/>
    </sheetView>
  </sheetViews>
  <sheetFormatPr baseColWidth="10" defaultRowHeight="15" x14ac:dyDescent="0.25"/>
  <cols>
    <col min="1" max="1" width="40.7109375" style="10" customWidth="1"/>
    <col min="2" max="2" width="18.5703125" style="10" customWidth="1"/>
    <col min="3" max="3" width="14.7109375" style="10" customWidth="1"/>
    <col min="4" max="4" width="53.7109375" style="10" customWidth="1"/>
    <col min="5" max="5" width="14.7109375" style="10" customWidth="1"/>
  </cols>
  <sheetData>
    <row r="1" spans="1:5" ht="30" customHeight="1" x14ac:dyDescent="0.3">
      <c r="A1" s="131" t="s">
        <v>783</v>
      </c>
      <c r="B1" s="131"/>
      <c r="C1" s="131"/>
      <c r="D1" s="131"/>
      <c r="E1" s="131"/>
    </row>
    <row r="3" spans="1:5" x14ac:dyDescent="0.25">
      <c r="A3" s="132" t="s">
        <v>784</v>
      </c>
      <c r="B3" s="132"/>
      <c r="C3" s="132"/>
      <c r="D3" s="132"/>
      <c r="E3" s="132"/>
    </row>
    <row r="4" spans="1:5" x14ac:dyDescent="0.25">
      <c r="A4" s="30" t="s">
        <v>785</v>
      </c>
      <c r="B4" s="30" t="s">
        <v>786</v>
      </c>
      <c r="C4" s="30" t="s">
        <v>787</v>
      </c>
      <c r="D4" s="30" t="s">
        <v>788</v>
      </c>
      <c r="E4" s="30" t="s">
        <v>789</v>
      </c>
    </row>
    <row r="5" spans="1:5" ht="30" x14ac:dyDescent="0.25">
      <c r="A5" s="43" t="s">
        <v>790</v>
      </c>
      <c r="B5" s="43" t="s">
        <v>791</v>
      </c>
      <c r="C5" s="43" t="s">
        <v>792</v>
      </c>
      <c r="D5" s="43" t="s">
        <v>793</v>
      </c>
      <c r="E5" s="43" t="s">
        <v>794</v>
      </c>
    </row>
    <row r="6" spans="1:5" ht="30" x14ac:dyDescent="0.25">
      <c r="A6" s="16" t="s">
        <v>795</v>
      </c>
      <c r="B6" s="16" t="s">
        <v>796</v>
      </c>
      <c r="C6" s="16" t="s">
        <v>792</v>
      </c>
      <c r="D6" s="16" t="s">
        <v>797</v>
      </c>
      <c r="E6" s="16" t="s">
        <v>798</v>
      </c>
    </row>
    <row r="7" spans="1:5" ht="30" x14ac:dyDescent="0.25">
      <c r="A7" s="16" t="s">
        <v>799</v>
      </c>
      <c r="B7" s="16" t="s">
        <v>796</v>
      </c>
      <c r="C7" s="16" t="s">
        <v>254</v>
      </c>
      <c r="D7" s="16" t="s">
        <v>800</v>
      </c>
      <c r="E7" s="16" t="s">
        <v>798</v>
      </c>
    </row>
    <row r="8" spans="1:5" ht="30" x14ac:dyDescent="0.25">
      <c r="A8" s="16" t="s">
        <v>801</v>
      </c>
      <c r="B8" s="16" t="s">
        <v>791</v>
      </c>
      <c r="C8" s="16" t="s">
        <v>254</v>
      </c>
      <c r="D8" s="16" t="s">
        <v>802</v>
      </c>
      <c r="E8" s="16" t="s">
        <v>798</v>
      </c>
    </row>
    <row r="9" spans="1:5" ht="30" x14ac:dyDescent="0.25">
      <c r="A9" s="16" t="s">
        <v>803</v>
      </c>
      <c r="B9" s="16" t="s">
        <v>796</v>
      </c>
      <c r="C9" s="16" t="s">
        <v>792</v>
      </c>
      <c r="D9" s="16" t="s">
        <v>935</v>
      </c>
      <c r="E9" s="16" t="s">
        <v>798</v>
      </c>
    </row>
    <row r="10" spans="1:5" ht="30" x14ac:dyDescent="0.25">
      <c r="A10" s="43" t="s">
        <v>804</v>
      </c>
      <c r="B10" s="43" t="s">
        <v>791</v>
      </c>
      <c r="C10" s="43" t="s">
        <v>792</v>
      </c>
      <c r="D10" s="43" t="s">
        <v>805</v>
      </c>
      <c r="E10" s="43" t="s">
        <v>794</v>
      </c>
    </row>
    <row r="11" spans="1:5" ht="30" x14ac:dyDescent="0.25">
      <c r="A11" s="43" t="s">
        <v>806</v>
      </c>
      <c r="B11" s="43" t="s">
        <v>791</v>
      </c>
      <c r="C11" s="43" t="s">
        <v>792</v>
      </c>
      <c r="D11" s="43" t="s">
        <v>807</v>
      </c>
      <c r="E11" s="43" t="s">
        <v>794</v>
      </c>
    </row>
    <row r="12" spans="1:5" ht="30" x14ac:dyDescent="0.25">
      <c r="A12" s="16" t="s">
        <v>808</v>
      </c>
      <c r="B12" s="16" t="s">
        <v>809</v>
      </c>
      <c r="C12" s="16" t="s">
        <v>792</v>
      </c>
      <c r="D12" s="16" t="s">
        <v>810</v>
      </c>
      <c r="E12" s="16" t="s">
        <v>798</v>
      </c>
    </row>
    <row r="13" spans="1:5" ht="30" x14ac:dyDescent="0.25">
      <c r="A13" s="16" t="s">
        <v>811</v>
      </c>
      <c r="B13" s="16" t="s">
        <v>809</v>
      </c>
      <c r="C13" s="16" t="s">
        <v>792</v>
      </c>
      <c r="D13" s="16" t="s">
        <v>812</v>
      </c>
      <c r="E13" s="16" t="s">
        <v>798</v>
      </c>
    </row>
    <row r="14" spans="1:5" ht="30" x14ac:dyDescent="0.25">
      <c r="A14" s="16" t="s">
        <v>813</v>
      </c>
      <c r="B14" s="16" t="s">
        <v>796</v>
      </c>
      <c r="C14" s="16" t="s">
        <v>254</v>
      </c>
      <c r="D14" s="16" t="s">
        <v>814</v>
      </c>
      <c r="E14" s="16" t="s">
        <v>798</v>
      </c>
    </row>
    <row r="15" spans="1:5" ht="30" x14ac:dyDescent="0.25">
      <c r="A15" s="43" t="s">
        <v>815</v>
      </c>
      <c r="B15" s="43" t="s">
        <v>796</v>
      </c>
      <c r="C15" s="43" t="s">
        <v>792</v>
      </c>
      <c r="D15" s="43" t="s">
        <v>936</v>
      </c>
      <c r="E15" s="43" t="s">
        <v>794</v>
      </c>
    </row>
    <row r="16" spans="1:5" x14ac:dyDescent="0.25">
      <c r="A16" s="136" t="s">
        <v>816</v>
      </c>
      <c r="B16" s="136"/>
      <c r="C16" s="136"/>
      <c r="D16" s="136"/>
      <c r="E16" s="136"/>
    </row>
    <row r="17" spans="1:5" x14ac:dyDescent="0.25">
      <c r="A17" s="30"/>
      <c r="B17" s="30"/>
      <c r="C17" s="30"/>
      <c r="D17" s="30"/>
      <c r="E17" s="30"/>
    </row>
    <row r="18" spans="1:5" ht="60" x14ac:dyDescent="0.25">
      <c r="A18" s="10" t="s">
        <v>817</v>
      </c>
      <c r="B18" s="10" t="s">
        <v>937</v>
      </c>
    </row>
    <row r="19" spans="1:5" ht="30" x14ac:dyDescent="0.25">
      <c r="A19" s="10" t="s">
        <v>414</v>
      </c>
      <c r="B19" s="10" t="s">
        <v>818</v>
      </c>
    </row>
    <row r="20" spans="1:5" ht="90" x14ac:dyDescent="0.25">
      <c r="A20" s="10">
        <v>1</v>
      </c>
      <c r="B20" s="10" t="s">
        <v>819</v>
      </c>
    </row>
    <row r="21" spans="1:5" ht="75" x14ac:dyDescent="0.25">
      <c r="A21" s="10">
        <v>2</v>
      </c>
      <c r="B21" s="10" t="s">
        <v>820</v>
      </c>
    </row>
    <row r="22" spans="1:5" ht="105" x14ac:dyDescent="0.25">
      <c r="A22" s="10">
        <v>3</v>
      </c>
      <c r="B22" s="10" t="s">
        <v>821</v>
      </c>
    </row>
    <row r="23" spans="1:5" x14ac:dyDescent="0.25">
      <c r="A23" s="132">
        <v>4</v>
      </c>
      <c r="B23" s="132"/>
      <c r="C23" s="132"/>
      <c r="D23" s="132"/>
      <c r="E23" s="132"/>
    </row>
    <row r="24" spans="1:5" ht="90" x14ac:dyDescent="0.25">
      <c r="A24" s="30">
        <v>5</v>
      </c>
      <c r="B24" s="30" t="s">
        <v>822</v>
      </c>
      <c r="C24" s="30"/>
      <c r="D24" s="30"/>
      <c r="E24" s="30"/>
    </row>
    <row r="26" spans="1:5" x14ac:dyDescent="0.25">
      <c r="A26" s="10" t="s">
        <v>823</v>
      </c>
    </row>
    <row r="27" spans="1:5" ht="30" x14ac:dyDescent="0.25">
      <c r="A27" s="10" t="s">
        <v>826</v>
      </c>
      <c r="B27" s="10" t="s">
        <v>824</v>
      </c>
      <c r="C27" s="10" t="s">
        <v>825</v>
      </c>
    </row>
    <row r="28" spans="1:5" ht="60" x14ac:dyDescent="0.25">
      <c r="A28" s="10" t="s">
        <v>826</v>
      </c>
      <c r="B28" s="10" t="s">
        <v>827</v>
      </c>
      <c r="C28" s="10" t="s">
        <v>828</v>
      </c>
    </row>
    <row r="29" spans="1:5" ht="60" x14ac:dyDescent="0.25">
      <c r="A29" s="10" t="s">
        <v>831</v>
      </c>
      <c r="B29" s="10" t="s">
        <v>829</v>
      </c>
      <c r="C29" s="10" t="s">
        <v>830</v>
      </c>
    </row>
    <row r="30" spans="1:5" ht="60" x14ac:dyDescent="0.25">
      <c r="A30" s="10" t="s">
        <v>834</v>
      </c>
      <c r="B30" s="10" t="s">
        <v>832</v>
      </c>
      <c r="C30" s="10" t="s">
        <v>833</v>
      </c>
    </row>
    <row r="31" spans="1:5" ht="90" x14ac:dyDescent="0.25">
      <c r="A31" s="10" t="s">
        <v>834</v>
      </c>
      <c r="B31" s="10" t="s">
        <v>835</v>
      </c>
      <c r="C31" s="10" t="s">
        <v>836</v>
      </c>
    </row>
  </sheetData>
  <mergeCells count="4">
    <mergeCell ref="A1:E1"/>
    <mergeCell ref="A3:E3"/>
    <mergeCell ref="A16:E16"/>
    <mergeCell ref="A23:E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📊 Dashboard</vt:lpstr>
      <vt:lpstr>1. Resumen Ejecutivo</vt:lpstr>
      <vt:lpstr>2. Análisis de Mercado</vt:lpstr>
      <vt:lpstr>3. Propuesta de Valor</vt:lpstr>
      <vt:lpstr>4. Portafolio de Servicios</vt:lpstr>
      <vt:lpstr>5. Modelo de Ingresos</vt:lpstr>
      <vt:lpstr>6. Adquisición de Clientes</vt:lpstr>
      <vt:lpstr>7. Roadmap 0-5 Años</vt:lpstr>
      <vt:lpstr>8. Plan Operativo</vt:lpstr>
      <vt:lpstr>9. Stack Tecnológico</vt:lpstr>
      <vt:lpstr>10. Proyecciones Financieras</vt:lpstr>
      <vt:lpstr>11. Escalabilidad</vt:lpstr>
      <vt:lpstr>12. Riesgos y Mitigación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 CS</dc:creator>
  <cp:lastModifiedBy>Pablo Esquivel</cp:lastModifiedBy>
  <dcterms:created xsi:type="dcterms:W3CDTF">2026-04-05T21:29:25Z</dcterms:created>
  <dcterms:modified xsi:type="dcterms:W3CDTF">2026-04-14T15:24:43Z</dcterms:modified>
</cp:coreProperties>
</file>